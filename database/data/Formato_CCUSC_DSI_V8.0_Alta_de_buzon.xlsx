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FAB12277-66F4-4816-8FAC-02C7B96C07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" sheetId="1" r:id="rId1"/>
    <sheet name="Formato (2)" sheetId="8" r:id="rId2"/>
    <sheet name="Domicilios" sheetId="7" state="hidden" r:id="rId3"/>
    <sheet name="Aux" sheetId="2" state="hidden" r:id="rId4"/>
    <sheet name="Comentarios" sheetId="6" state="hidden" r:id="rId5"/>
    <sheet name="Catalogo" sheetId="5" state="hidden" r:id="rId6"/>
  </sheets>
  <definedNames>
    <definedName name="_xlnm._FilterDatabase" localSheetId="3" hidden="1">Aux!$A$1:$F$1161</definedName>
    <definedName name="_xlnm._FilterDatabase" localSheetId="5" hidden="1">Catalogo!$A$1:$C$12</definedName>
    <definedName name="_xlnm._FilterDatabase" localSheetId="2" hidden="1">Domicilios!$A$1:$L$1360</definedName>
    <definedName name="ABC">Catalogo!$B$2:$B$4</definedName>
    <definedName name="_xlnm.Print_Area" localSheetId="0">Formato!$B$1:$AB$47</definedName>
    <definedName name="_xlnm.Print_Area" localSheetId="1">'Formato (2)'!$B$1:$AB$47</definedName>
    <definedName name="C_ADSCRIPCION">Aux!$D$2:$D$69</definedName>
    <definedName name="C_AUTORIZO">Aux!$B$4:$B$18</definedName>
    <definedName name="C_CENTROT">Aux!$F$2:$F$1175</definedName>
    <definedName name="C_EMPLEADO">Aux!$C$2:$C$702</definedName>
    <definedName name="C_ENTIDADF">Aux!$A$2:$A$33</definedName>
    <definedName name="C_OFICINA">Aux!$E$2:$E$1124</definedName>
    <definedName name="ESTADOS">Aux!$A$2:$A$29</definedName>
    <definedName name="LICENCIA">Catalogo!$B$13:$B$13</definedName>
    <definedName name="Perfiles_de_acceso_a_internet">Catalogo!$B$5:$B$12</definedName>
    <definedName name="Servicios">Catalogo!$C$2:$C$4</definedName>
    <definedName name="TCentroDeTrabajo">Domicilios!$I$2:$I$1360</definedName>
    <definedName name="TDOMICILIOS">Domicilios!$A$2:$L$1360</definedName>
    <definedName name="Unidad_Administrativa">Aux!$D$2:$D$69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8" l="1"/>
  <c r="D39" i="8"/>
  <c r="T38" i="8"/>
  <c r="K38" i="8"/>
  <c r="D38" i="8"/>
  <c r="D28" i="8"/>
  <c r="D23" i="8"/>
  <c r="Y15" i="8"/>
  <c r="V14" i="8"/>
  <c r="O14" i="8"/>
  <c r="H14" i="8"/>
  <c r="X13" i="8"/>
  <c r="H13" i="8"/>
  <c r="D39" i="1"/>
  <c r="Y15" i="1" l="1"/>
  <c r="H14" i="1"/>
  <c r="B45" i="1"/>
  <c r="T38" i="1"/>
  <c r="K38" i="1"/>
  <c r="D38" i="1"/>
  <c r="D28" i="1"/>
  <c r="D23" i="1"/>
  <c r="H13" i="1" l="1"/>
  <c r="X13" i="1" l="1"/>
  <c r="O14" i="1"/>
  <c r="V14" i="1" l="1"/>
</calcChain>
</file>

<file path=xl/sharedStrings.xml><?xml version="1.0" encoding="utf-8"?>
<sst xmlns="http://schemas.openxmlformats.org/spreadsheetml/2006/main" count="19081" uniqueCount="10530">
  <si>
    <t>Hoja:</t>
  </si>
  <si>
    <t>1 de 1</t>
  </si>
  <si>
    <t>Código:</t>
  </si>
  <si>
    <t>NA</t>
  </si>
  <si>
    <t>Versión:</t>
  </si>
  <si>
    <t>JEFATURA DE SERVICIOS DE MESA CENTRAL DE SERVICIOS</t>
  </si>
  <si>
    <t>Fecha:</t>
  </si>
  <si>
    <t>DATOS DEL USUARIO</t>
  </si>
  <si>
    <t>FECHA:</t>
  </si>
  <si>
    <t>EN ESTE APARTADO FAVOR DE COLOCAR LA INFORMACIÓN QUE CUMPLA CON LOS SIGUIENTES CRITERIOS:
        MAYÚSCULAS Y MINÚSCULAS
        SIN ACENTOS
        SIN CARACTERES ESPECIALES
        CAMBIAR LA LETRA "Ñ" POR "N"</t>
  </si>
  <si>
    <t>NOMBRE(S):</t>
  </si>
  <si>
    <t>APELLIDOS:</t>
  </si>
  <si>
    <t>No. EMPLEADO:</t>
  </si>
  <si>
    <t>PUESTO:</t>
  </si>
  <si>
    <t>RED:</t>
  </si>
  <si>
    <t>ENTIDAD FEDERATIVA:</t>
  </si>
  <si>
    <t>CENTRO DE TRABAJO:</t>
  </si>
  <si>
    <t>DOMICILIO:</t>
  </si>
  <si>
    <t>LOCALIDAD:</t>
  </si>
  <si>
    <t>CODIGO POSTAL:</t>
  </si>
  <si>
    <t>TIPO DE UNIDAD:</t>
  </si>
  <si>
    <t>CLUE:</t>
  </si>
  <si>
    <t>OFICINA:</t>
  </si>
  <si>
    <t>CLAVE PRESUPUESTAL :</t>
  </si>
  <si>
    <t>AREA DE ADSCRIPCIÓN:</t>
  </si>
  <si>
    <t xml:space="preserve">  DIRECCION IP:    </t>
  </si>
  <si>
    <t xml:space="preserve">       HOSTNAME:    </t>
  </si>
  <si>
    <t>DATOS DE LA CONFIGURACIÓN</t>
  </si>
  <si>
    <t>TIPO DE SOLICITUD:</t>
  </si>
  <si>
    <t>ALTA</t>
  </si>
  <si>
    <t>TIPO DE CONTRATACION:</t>
  </si>
  <si>
    <t>SERVICIO:</t>
  </si>
  <si>
    <t>CATEGORIA:</t>
  </si>
  <si>
    <t>TIPO DE SOLICITUD O SERVICIO</t>
  </si>
  <si>
    <t>DESCRIPCIÓN Y JUSTIFICACIÓN</t>
  </si>
  <si>
    <t>Vo. Bo.</t>
  </si>
  <si>
    <t>NOMBRE DE QUIEN AUTORIZA:</t>
  </si>
  <si>
    <t>CARGO:</t>
  </si>
  <si>
    <t>FIRMAS</t>
  </si>
  <si>
    <t>USUARIO</t>
  </si>
  <si>
    <t>ENLACE INFORMATICO</t>
  </si>
  <si>
    <t>El presente documento es una responsiva mediante la cual el usuario acepta las Políticas de uso del servicio solicitado,  publicadas en la Intranet del Instituto en el siguiente link: https://www.issste.gob.mx/intranet/direccionnormativa/adminitracionyfinanzas/sudireccion/masinfo/acuerdotic.html</t>
  </si>
  <si>
    <t>LLAVE</t>
  </si>
  <si>
    <t xml:space="preserve">ID </t>
  </si>
  <si>
    <t>CLUE</t>
  </si>
  <si>
    <t>CLAVE PRESUPUESTAL</t>
  </si>
  <si>
    <t>cve guion bajo</t>
  </si>
  <si>
    <t>TIPOLOGIA</t>
  </si>
  <si>
    <t>TIPO DE UNIDAD</t>
  </si>
  <si>
    <t>CIUDAD</t>
  </si>
  <si>
    <t>NOMBRE DE LA UNIDAD</t>
  </si>
  <si>
    <t>DOMICILIO</t>
  </si>
  <si>
    <t>LOCALIDAD</t>
  </si>
  <si>
    <t>C.P.</t>
  </si>
  <si>
    <t>Aguascalientes-Almacen Estatal Aguascalientes</t>
  </si>
  <si>
    <t>2059</t>
  </si>
  <si>
    <t>No aplica</t>
  </si>
  <si>
    <t>001-142-00</t>
  </si>
  <si>
    <t>001_142_00_Almacen_Estatal_Aguascalientes</t>
  </si>
  <si>
    <t>AE</t>
  </si>
  <si>
    <t>Unidad Administrativa</t>
  </si>
  <si>
    <t>Aguascalientes</t>
  </si>
  <si>
    <t>Almacen Estatal Aguascalientes</t>
  </si>
  <si>
    <t>Heroe de Nacozari Norte No. 2402 Col. Las Hadas</t>
  </si>
  <si>
    <t>Baja California-Almacen Estatal Baja California</t>
  </si>
  <si>
    <t>2325</t>
  </si>
  <si>
    <t>002-142-00</t>
  </si>
  <si>
    <t>002_142_00_Almacen_Estatal_Baja_California</t>
  </si>
  <si>
    <t>Baja California</t>
  </si>
  <si>
    <t>Almacen Estatal Baja California</t>
  </si>
  <si>
    <t>Centro Comercial Plaza Mandarin Local 26 D Col. Fracc. Las Palmas</t>
  </si>
  <si>
    <t>Mexicali</t>
  </si>
  <si>
    <t>Baja California Sur-Almacen Estatal Baja California Sur</t>
  </si>
  <si>
    <t>2819</t>
  </si>
  <si>
    <t>003-142-00</t>
  </si>
  <si>
    <t>003_142_00_Almacen_Estatal_Baja_California_Sur</t>
  </si>
  <si>
    <t>Baja California Sur</t>
  </si>
  <si>
    <t>Almacen Estatal Baja California Sur</t>
  </si>
  <si>
    <t>Cavildos SN entre Campo y Degollado Col. Francisco Villa</t>
  </si>
  <si>
    <t>La Paz</t>
  </si>
  <si>
    <t>Campeche-Almacen Estatal Campeche</t>
  </si>
  <si>
    <t>2332</t>
  </si>
  <si>
    <t>004-142-00</t>
  </si>
  <si>
    <t>004_142_00_Almacen_Estatal_Campeche</t>
  </si>
  <si>
    <t>Campeche</t>
  </si>
  <si>
    <t>Almacen Estatal Campeche</t>
  </si>
  <si>
    <t>Ciriaco Vazquez No. 89A Col. Centro</t>
  </si>
  <si>
    <t>Chiapas-Almacen Estatal Chiapas</t>
  </si>
  <si>
    <t>2928</t>
  </si>
  <si>
    <t>007-142-00</t>
  </si>
  <si>
    <t>007_142_00_Almacen_Estatal_Chiapas</t>
  </si>
  <si>
    <t>Chiapas</t>
  </si>
  <si>
    <t>Almacen Estatal Chiapas</t>
  </si>
  <si>
    <t>Anillo Circunvalacion No. 1515 Col. Xamaipak</t>
  </si>
  <si>
    <t>Tuxtla Gutierrez</t>
  </si>
  <si>
    <t>Chihuahua-Almacen Estatal Chihuahua</t>
  </si>
  <si>
    <t>2345</t>
  </si>
  <si>
    <t>008-146-00</t>
  </si>
  <si>
    <t>008_146_00_Almacen_Estatal_Chihuahua</t>
  </si>
  <si>
    <t>Chihuahua</t>
  </si>
  <si>
    <t>Almacen Estatal Chihuahua</t>
  </si>
  <si>
    <t>Av. Octavio Paz No. 101 Col. Complejo Industrial</t>
  </si>
  <si>
    <t>Coahuila-Almacen Estatal Coahuila</t>
  </si>
  <si>
    <t>2082</t>
  </si>
  <si>
    <t>005-142-00</t>
  </si>
  <si>
    <t>005_142_00_Almacen_Estatal_Coahuila</t>
  </si>
  <si>
    <t>Coahuila</t>
  </si>
  <si>
    <t>Almacen Estatal Coahuila</t>
  </si>
  <si>
    <t>Andres Saucedo 1368 Col. Deportivo</t>
  </si>
  <si>
    <t>Saltillo</t>
  </si>
  <si>
    <t>Colima-Almacen Estatal Colima</t>
  </si>
  <si>
    <t>2599</t>
  </si>
  <si>
    <t>006-142-00</t>
  </si>
  <si>
    <t>006_142_00_Almacen_Estatal_Colima</t>
  </si>
  <si>
    <t>Colima</t>
  </si>
  <si>
    <t>Almacen Estatal Colima</t>
  </si>
  <si>
    <t>Manuel Acuna 595 PB Col. Jardines Residenciales</t>
  </si>
  <si>
    <t>Durango-Almacen Estatal Durango</t>
  </si>
  <si>
    <t>2156</t>
  </si>
  <si>
    <t>010-142-00</t>
  </si>
  <si>
    <t>010_142_00_Almacen_Estatal_Durango</t>
  </si>
  <si>
    <t>Durango</t>
  </si>
  <si>
    <t>Almacen Estatal Durango</t>
  </si>
  <si>
    <t>Av. Estroncio No. 100, Col. Agricola 20 de Noviembre</t>
  </si>
  <si>
    <t>Guanajuato-Almacen Estatal Guanajuato</t>
  </si>
  <si>
    <t>2043</t>
  </si>
  <si>
    <t>011-142-00</t>
  </si>
  <si>
    <t>011_142_00_Almacen_Estatal_Guanajuato</t>
  </si>
  <si>
    <t>Guanajuato</t>
  </si>
  <si>
    <t>Almacen Estatal Guanajuato</t>
  </si>
  <si>
    <t>Salvador Ortega No. 503 Col. Las Aves</t>
  </si>
  <si>
    <t>Celaya</t>
  </si>
  <si>
    <t>Guerrero-Almacen Estatal Guerrero</t>
  </si>
  <si>
    <t>2651</t>
  </si>
  <si>
    <t>012-142-00</t>
  </si>
  <si>
    <t>012_142_00_Almacen_Estatal_Guerrero</t>
  </si>
  <si>
    <t>Guerrero</t>
  </si>
  <si>
    <t>Almacen Estatal Guerrero</t>
  </si>
  <si>
    <t>Vasco Nunez de Balboa No. 12 Col. Centro</t>
  </si>
  <si>
    <t>Acapulco</t>
  </si>
  <si>
    <t>Yucatan-Almacen Estatal Merida</t>
  </si>
  <si>
    <t>3903</t>
  </si>
  <si>
    <t>031-145-00</t>
  </si>
  <si>
    <t>031_145_00_Almacen_Estatal_Merida</t>
  </si>
  <si>
    <t>Yucatan</t>
  </si>
  <si>
    <t>Almacen Estatal Merida</t>
  </si>
  <si>
    <t>17 Lote 412 Por 20 y 24 Av. Cabalan Macari Col. Ciudad Industrial</t>
  </si>
  <si>
    <t>Merida</t>
  </si>
  <si>
    <t>Nayarit-Almacen Estatal Nayarit</t>
  </si>
  <si>
    <t>2224</t>
  </si>
  <si>
    <t>018-142-00</t>
  </si>
  <si>
    <t>018_142_00_Almacen_Estatal_Nayarit</t>
  </si>
  <si>
    <t>Nayarit</t>
  </si>
  <si>
    <t>Almacen Estatal Nayarit</t>
  </si>
  <si>
    <t>Carr. Internacional Km. 3 SN Col. Centro</t>
  </si>
  <si>
    <t>Tepic</t>
  </si>
  <si>
    <t>Nuevo Leon-Almacen Estatal Nuevo Leon</t>
  </si>
  <si>
    <t>2468</t>
  </si>
  <si>
    <t>019-142-00</t>
  </si>
  <si>
    <t>019_142_00_Almacen_Estatal_Nuevo_Leon</t>
  </si>
  <si>
    <t>Nuevo Leon</t>
  </si>
  <si>
    <t>Almacen Estatal Nuevo Leon</t>
  </si>
  <si>
    <t>Av. Eloy Cabazos E Insurgentes SN Col. Las Avenidas</t>
  </si>
  <si>
    <t>Guadalupe</t>
  </si>
  <si>
    <t>Puebla-Almacen Estatal Puebla</t>
  </si>
  <si>
    <t>2247</t>
  </si>
  <si>
    <t>021_142_00</t>
  </si>
  <si>
    <t>021_142_00_Almacen_Estatal_Puebla</t>
  </si>
  <si>
    <t>Puebla</t>
  </si>
  <si>
    <t>Almacen Estatal Puebla</t>
  </si>
  <si>
    <t>46 Poniente No. 1105 Col. Santa Maria</t>
  </si>
  <si>
    <t>Queretaro-Almacen Estatal Queretaro</t>
  </si>
  <si>
    <t>2249</t>
  </si>
  <si>
    <t>022-142-00</t>
  </si>
  <si>
    <t>022_142_00_Almacen_Estatal_Queretaro</t>
  </si>
  <si>
    <t>Queretaro</t>
  </si>
  <si>
    <t>Almacen Estatal Queretaro</t>
  </si>
  <si>
    <t>Av. Tecnologico 101 Col. Centro</t>
  </si>
  <si>
    <t>Quintana Roo-Almacen Estatal Quintana Roo</t>
  </si>
  <si>
    <t>2871</t>
  </si>
  <si>
    <t>023-142-00</t>
  </si>
  <si>
    <t>023_142_00_Almacen_Estatal_Quintana_Roo</t>
  </si>
  <si>
    <t>Quintana Roo</t>
  </si>
  <si>
    <t>Almacen Estatal Quintana Roo</t>
  </si>
  <si>
    <t>Juana de Asbaje No. 614 Esq. Justo Sierra Col. Miraflores</t>
  </si>
  <si>
    <t>Chetumal</t>
  </si>
  <si>
    <t>San Luis Potosi-Almacen Estatal San Luis Potosi</t>
  </si>
  <si>
    <t>2262</t>
  </si>
  <si>
    <t>024-142-00</t>
  </si>
  <si>
    <t>024_142_00_Almacen_Estatal_San_Luis_Potosi</t>
  </si>
  <si>
    <t>San Luis Potosi</t>
  </si>
  <si>
    <t>Almacen Estatal San Luis Potosi</t>
  </si>
  <si>
    <t>Blvd. Antonio Rocha Cordero No. 1830 Col. Bellas Lomas Tierra Blanca</t>
  </si>
  <si>
    <t>Sonora-Almacen Estatal Sonora</t>
  </si>
  <si>
    <t>2285</t>
  </si>
  <si>
    <t>026-142-00</t>
  </si>
  <si>
    <t>026_142_00_Almacen_Estatal_Sonora</t>
  </si>
  <si>
    <t>Sonora</t>
  </si>
  <si>
    <t>Almacen Estatal Sonora</t>
  </si>
  <si>
    <t>Gustavo Munoz SN Col. Choyal</t>
  </si>
  <si>
    <t>Hermosillo</t>
  </si>
  <si>
    <t>Tabasco-Almacen Estatal Tabasco</t>
  </si>
  <si>
    <t>2486</t>
  </si>
  <si>
    <t>027-142-00</t>
  </si>
  <si>
    <t>027_142_00_Almacen_Estatal_Tabasco</t>
  </si>
  <si>
    <t>Tabasco</t>
  </si>
  <si>
    <t>Almacen Estatal Tabasco</t>
  </si>
  <si>
    <t>Av. Plomo No. 2 Bodega 5 Col. Ciudad Industrial</t>
  </si>
  <si>
    <t>Villahermosa</t>
  </si>
  <si>
    <t>Tamaulipas-Almacen Estatal Tamaulipas</t>
  </si>
  <si>
    <t>2753</t>
  </si>
  <si>
    <t>028-142-00</t>
  </si>
  <si>
    <t>028_142_00_Almacen_Estatal_Tamaulipas</t>
  </si>
  <si>
    <t>Tamaulipas</t>
  </si>
  <si>
    <t>Almacen Estatal Tamaulipas</t>
  </si>
  <si>
    <t>7 de Noviembre Esq. 6a Col. de los Maestros</t>
  </si>
  <si>
    <t>Cd Victoria</t>
  </si>
  <si>
    <t>Tlaxcala-Almacen Estatal Tlaxcala</t>
  </si>
  <si>
    <t>2497</t>
  </si>
  <si>
    <t>029-142-00</t>
  </si>
  <si>
    <t>029_142_00_Almacen_Estatal_Tlaxcala</t>
  </si>
  <si>
    <t>Tlaxcala</t>
  </si>
  <si>
    <t>Almacen Estatal Tlaxcala</t>
  </si>
  <si>
    <t>Justo Sierra No. 4 Col. Centro</t>
  </si>
  <si>
    <t>Zacatecas-Almacen Estatal Zacatecas</t>
  </si>
  <si>
    <t>2780</t>
  </si>
  <si>
    <t>032-142-00</t>
  </si>
  <si>
    <t>032_142_00_Almacen_Estatal_Zacatecas</t>
  </si>
  <si>
    <t>Zacatecas</t>
  </si>
  <si>
    <t>Almacen Estatal Zacatecas</t>
  </si>
  <si>
    <t>Av. Secretaria de Pesca SN Col. Corredor Industrial</t>
  </si>
  <si>
    <t>Yucatan-APP Merida</t>
  </si>
  <si>
    <t>4541</t>
  </si>
  <si>
    <t>YNIST000170</t>
  </si>
  <si>
    <t>031-204-00</t>
  </si>
  <si>
    <t>031_204_00_APP_Merida</t>
  </si>
  <si>
    <t>APP</t>
  </si>
  <si>
    <t>Unidad Medica</t>
  </si>
  <si>
    <t>APP Merida</t>
  </si>
  <si>
    <t>21 SN Tablaje Catastlal No. 40638 Col. Comisaria de Susula</t>
  </si>
  <si>
    <t>Nayarit-APP Tepic</t>
  </si>
  <si>
    <t>4546</t>
  </si>
  <si>
    <t>NTIST000260</t>
  </si>
  <si>
    <t>018-204-00</t>
  </si>
  <si>
    <t>018_204_00_APP_Tepic</t>
  </si>
  <si>
    <t>APP Tepic</t>
  </si>
  <si>
    <t>Dr. Ignacio Cuesta Barrios No. 33</t>
  </si>
  <si>
    <t>Ejido La Cantera</t>
  </si>
  <si>
    <t>CDMX-APP Tlahuac</t>
  </si>
  <si>
    <t>4547</t>
  </si>
  <si>
    <t>DFIST001053</t>
  </si>
  <si>
    <t>093-220-00</t>
  </si>
  <si>
    <t>093_220_00_APP_Tlahuac</t>
  </si>
  <si>
    <t>CDMX</t>
  </si>
  <si>
    <t>APP Tlahuac</t>
  </si>
  <si>
    <t>Avenida Heberto Castillo No. 216, Col. Villa Centroamericana</t>
  </si>
  <si>
    <t>Tlahuac</t>
  </si>
  <si>
    <t>4553</t>
  </si>
  <si>
    <t>TCIST000273</t>
  </si>
  <si>
    <t>027-204-00</t>
  </si>
  <si>
    <t>Carr. Federal Villahermosa Chetumal, Km 15 SN</t>
  </si>
  <si>
    <t>Rancheria Coronel Traconis 1ra secc.</t>
  </si>
  <si>
    <t>CDMX-Area Auditoria para el Desarrollo y Mejora</t>
  </si>
  <si>
    <t>_Area_Auditoria_para_el_Desarrollo_y_Mejora</t>
  </si>
  <si>
    <t>Area Auditoria para el Desarrollo y Mejora</t>
  </si>
  <si>
    <t>CDMX-Area de Auditoria Interma y Area Quejas en Delegacion</t>
  </si>
  <si>
    <t>_Area_de_Auditoria_Interma_y_Area_Quejas_en_Delegacion</t>
  </si>
  <si>
    <t>Area de Auditoria Interma y Area Quejas en Delegacion</t>
  </si>
  <si>
    <t>Chihuahua-BP No 10 Chihuahua</t>
  </si>
  <si>
    <t>2342</t>
  </si>
  <si>
    <t>008-304-81</t>
  </si>
  <si>
    <t>008_304_81_BP_No_10_Chihuahua</t>
  </si>
  <si>
    <t>BP</t>
  </si>
  <si>
    <t>BP No 10 Chihuahua</t>
  </si>
  <si>
    <t>Oceano Pacifico No. 3620 Col. Fovissste</t>
  </si>
  <si>
    <t>CDMX-BP No 12 Flores Magon y Lazaro Cardenas</t>
  </si>
  <si>
    <t>2377</t>
  </si>
  <si>
    <t>091-304-83</t>
  </si>
  <si>
    <t>091_304_83_BP_No_12_Flores_Magon_y_Lazaro_Cardenas</t>
  </si>
  <si>
    <t>BP No 12 Flores Magon y Lazaro Cardenas</t>
  </si>
  <si>
    <t>Lazaro Cardenas 402 Edif.11 Col. Tlatelolco</t>
  </si>
  <si>
    <t>Cuauhtemoc</t>
  </si>
  <si>
    <t>06300</t>
  </si>
  <si>
    <t>Coahuila-BP No 19 Torreon</t>
  </si>
  <si>
    <t>2081</t>
  </si>
  <si>
    <t>005-304-82</t>
  </si>
  <si>
    <t>005_304_82_BP_No_19_Torreon</t>
  </si>
  <si>
    <t>BP No 19 Torreon</t>
  </si>
  <si>
    <t>Francisco I. No 110 Madero Esq. Abasolo Col. Centro</t>
  </si>
  <si>
    <t>Torreon</t>
  </si>
  <si>
    <t>Estado de Mexico-BP No 21 Texcoco</t>
  </si>
  <si>
    <t>2448</t>
  </si>
  <si>
    <t>015-304-95</t>
  </si>
  <si>
    <t>015_304_95_BP_No_21_Texcoco</t>
  </si>
  <si>
    <t>Estado de Mexico</t>
  </si>
  <si>
    <t>BP No 21 Texcoco</t>
  </si>
  <si>
    <t>Av. 16 de Septiembre No. 107 Col. Centro</t>
  </si>
  <si>
    <t>Texcoco</t>
  </si>
  <si>
    <t>Estado de Mexico-BP No 35 Ecatepec</t>
  </si>
  <si>
    <t>2437</t>
  </si>
  <si>
    <t>015-304-86</t>
  </si>
  <si>
    <t>015_304_86_BP_No_35_Ecatepec</t>
  </si>
  <si>
    <t>BP No 35 Ecatepec</t>
  </si>
  <si>
    <t>Guelatao No. 133 Col. Santa Maria Tultetlac</t>
  </si>
  <si>
    <t>Ecatepec de Morelos</t>
  </si>
  <si>
    <t>Guanajuato-BP No 48 Celaya</t>
  </si>
  <si>
    <t>2186</t>
  </si>
  <si>
    <t>011-304-82</t>
  </si>
  <si>
    <t>011_304_82_BP_No_48_Celaya</t>
  </si>
  <si>
    <t>BP No 48 Celaya</t>
  </si>
  <si>
    <t>Av. Francisco Juarez Esq. Las Americas Col. Los Laureles</t>
  </si>
  <si>
    <t>San Luis Potosi-BP No 50 Cd Valles</t>
  </si>
  <si>
    <t>2732</t>
  </si>
  <si>
    <t>024-304-83</t>
  </si>
  <si>
    <t>024_304_83_BP_No_50_Cd_Valles</t>
  </si>
  <si>
    <t>BP No 50 Cd Valles</t>
  </si>
  <si>
    <t>Pedro Antonio de los Santos SN Col. Centro</t>
  </si>
  <si>
    <t>Cd Valles</t>
  </si>
  <si>
    <t>Puebla-BP No 53 Puebla</t>
  </si>
  <si>
    <t>2244</t>
  </si>
  <si>
    <t>021-304-80</t>
  </si>
  <si>
    <t>021_304_80_BP_No_53_Puebla</t>
  </si>
  <si>
    <t>BP No 53 Puebla</t>
  </si>
  <si>
    <t>Privada Yucatan No. 1444 Col. Universidades</t>
  </si>
  <si>
    <t>CDMX-BP No 6 Felix Cuevas</t>
  </si>
  <si>
    <t>2151</t>
  </si>
  <si>
    <t>093-304-80</t>
  </si>
  <si>
    <t>093_304_80_BP_No_6_Felix_Cuevas</t>
  </si>
  <si>
    <t>BP No 6 Felix Cuevas</t>
  </si>
  <si>
    <t>Edif. C. C.U.P.A.. Av. Coyoacan 1435. Esq. Felix Cuevas. Piso PB Col. Valle Sur</t>
  </si>
  <si>
    <t>Benito Juarez</t>
  </si>
  <si>
    <t>03100</t>
  </si>
  <si>
    <t>CDMX-BP No 7 UH Tlatelolco</t>
  </si>
  <si>
    <t>2103</t>
  </si>
  <si>
    <t>091-304-80</t>
  </si>
  <si>
    <t>091_304_80_BP_No_7_UH_Tlatelolco</t>
  </si>
  <si>
    <t>BP No 7 UH Tlatelolco</t>
  </si>
  <si>
    <t>Manuel Gonzalez Esq. Insurgentes SN Col. Tlatelolco</t>
  </si>
  <si>
    <t>Gustavo A. Madero</t>
  </si>
  <si>
    <t>06900</t>
  </si>
  <si>
    <t>Yucatan-BP No 9 Merida</t>
  </si>
  <si>
    <t>2530</t>
  </si>
  <si>
    <t>031-304-80</t>
  </si>
  <si>
    <t>031_304_80_BP_No_9_Merida</t>
  </si>
  <si>
    <t>BP No 9 Merida</t>
  </si>
  <si>
    <t>5 por Av. 36 Col. Pensiones</t>
  </si>
  <si>
    <t>Morelos-C Aux Issstehuixtla</t>
  </si>
  <si>
    <t>2688</t>
  </si>
  <si>
    <t>017-206-17</t>
  </si>
  <si>
    <t>017_206_17_C_Aux_Issstehuixtla</t>
  </si>
  <si>
    <t/>
  </si>
  <si>
    <t>Morelos</t>
  </si>
  <si>
    <t>C Aux Issstehuixtla</t>
  </si>
  <si>
    <t>Av. de la Fundicion SN Col. Issstehuixtla</t>
  </si>
  <si>
    <t>Tamaulipas-C Cult Ciudad Victoria</t>
  </si>
  <si>
    <t>2762</t>
  </si>
  <si>
    <t>028-304-82</t>
  </si>
  <si>
    <t>028_304_82_C_Cult_Ciudad_Victoria</t>
  </si>
  <si>
    <t>C_Cult</t>
  </si>
  <si>
    <t>C Cult Ciudad Victoria</t>
  </si>
  <si>
    <t>Luis H. Mora No. 544 Col. Fracc. Las Flores</t>
  </si>
  <si>
    <t>Yucatan-C Cult Merida</t>
  </si>
  <si>
    <t>2527</t>
  </si>
  <si>
    <t>031-304-81</t>
  </si>
  <si>
    <t>031_304_81_C_Cult_Merida</t>
  </si>
  <si>
    <t>C Cult Merida</t>
  </si>
  <si>
    <t>5 A SN Por 38A y 40 Col. Fracc. Fovissste Pensiones</t>
  </si>
  <si>
    <t>CDMX-CA Unidad de Comunicacion Social</t>
  </si>
  <si>
    <t>107-144-00</t>
  </si>
  <si>
    <t>107_144_00_CA_Unidad_de_Comunicacion_Social</t>
  </si>
  <si>
    <t>CA Unidad de Comunicacion Social</t>
  </si>
  <si>
    <t>Jesus Garcia Corona No. 140 Col. Buenavista</t>
  </si>
  <si>
    <t>06350</t>
  </si>
  <si>
    <t>Puebla-CAF Acatzingo de Hidalgo</t>
  </si>
  <si>
    <t>4604</t>
  </si>
  <si>
    <t>PLIST000224</t>
  </si>
  <si>
    <t>021-214-11</t>
  </si>
  <si>
    <t>021_214_11_CAF_Acatzingo_de_Hidalgo</t>
  </si>
  <si>
    <t>CAF</t>
  </si>
  <si>
    <t>CAF Acatzingo de Hidalgo</t>
  </si>
  <si>
    <t>2 Poniente 305 Col. Barrio San Antonio</t>
  </si>
  <si>
    <t>Acatzingo de Hidalgo</t>
  </si>
  <si>
    <t>Nuevo Leon-CAF Aramberri</t>
  </si>
  <si>
    <t>3193</t>
  </si>
  <si>
    <t>NLIST000233</t>
  </si>
  <si>
    <t>019-204-01</t>
  </si>
  <si>
    <t>019_204_01_CAF_Aramberri</t>
  </si>
  <si>
    <t>CAF Aramberri</t>
  </si>
  <si>
    <t>Felix Ccontreras SN entre Zaragoza y Naranjo Col. Centro</t>
  </si>
  <si>
    <t>Aramberri</t>
  </si>
  <si>
    <t>Morelos-CAF Atlatlahucan</t>
  </si>
  <si>
    <t>2591</t>
  </si>
  <si>
    <t>MSIST000310</t>
  </si>
  <si>
    <t>017-205-11</t>
  </si>
  <si>
    <t>017_205_11_CAF_Atlatlahucan</t>
  </si>
  <si>
    <t>CAF Atlatlahucan</t>
  </si>
  <si>
    <t>Hermenegildo Galeana Esq. Ecuador SN Col. Barrio San Sebastian</t>
  </si>
  <si>
    <t>Atlatlahucan</t>
  </si>
  <si>
    <t>Morelos-CAF Axochiapan</t>
  </si>
  <si>
    <t>3898</t>
  </si>
  <si>
    <t>MSIST000136</t>
  </si>
  <si>
    <t>017-205-09</t>
  </si>
  <si>
    <t>017_205_09_CAF_Axochiapan</t>
  </si>
  <si>
    <t>CAF Axochiapan</t>
  </si>
  <si>
    <t>Galeana No. 21 Col. Centro</t>
  </si>
  <si>
    <t>Axochiapan</t>
  </si>
  <si>
    <t>Quintana Roo-CAF Bakalar</t>
  </si>
  <si>
    <t>4583</t>
  </si>
  <si>
    <t>QRIST000096</t>
  </si>
  <si>
    <t>023-204-03</t>
  </si>
  <si>
    <t>023_204_03_CAF_Bakalar</t>
  </si>
  <si>
    <t>CAF Bakalar</t>
  </si>
  <si>
    <t>19 B Reg 5 Mzna. 8 Lt. 10 entre 42 y 44 Col. Colosio</t>
  </si>
  <si>
    <t>Bakalar</t>
  </si>
  <si>
    <t>Morelos-CAF Cd Ayala</t>
  </si>
  <si>
    <t>4554</t>
  </si>
  <si>
    <t>MSIST000141</t>
  </si>
  <si>
    <t>017-205-04</t>
  </si>
  <si>
    <t>017_205_04_CAF_Cd_Ayala</t>
  </si>
  <si>
    <t>CAF Cd Ayala</t>
  </si>
  <si>
    <t>Pablo Torres Burgos No. 35 entre Vicente Guerrero y Miguel Hidalgo Col. Centro</t>
  </si>
  <si>
    <t>Cd. Ayala</t>
  </si>
  <si>
    <t>Zacatecas-CAF Cd Cuauhtemoc</t>
  </si>
  <si>
    <t>Pendiente</t>
  </si>
  <si>
    <t>ZSIST000266</t>
  </si>
  <si>
    <t>032-204-33</t>
  </si>
  <si>
    <t>032_204_33_CAF_Cd_Cuauhtemoc</t>
  </si>
  <si>
    <t>CAF Cd Cuauhtemoc</t>
  </si>
  <si>
    <t>C. San Juan de Dios No.5 Col. La Gavia San Pedro Piedra Gorda</t>
  </si>
  <si>
    <t>Tamaulipas-CAF Cd Mier</t>
  </si>
  <si>
    <t>3360</t>
  </si>
  <si>
    <t>TSIST000281</t>
  </si>
  <si>
    <t>028-206-05</t>
  </si>
  <si>
    <t>028_206_05_CAF_Cd_Mier</t>
  </si>
  <si>
    <t>CAF Cd Mier</t>
  </si>
  <si>
    <t>Guerrero y Obregon SN Col. Centro</t>
  </si>
  <si>
    <t>Cd Mier</t>
  </si>
  <si>
    <t>Guerrero-CAF Cd Renacimiento</t>
  </si>
  <si>
    <t>2665</t>
  </si>
  <si>
    <t>GRIST000322</t>
  </si>
  <si>
    <t>012-208-03</t>
  </si>
  <si>
    <t>012_208_03_CAF_Cd_Renacimiento</t>
  </si>
  <si>
    <t>CAF Cd Renacimiento</t>
  </si>
  <si>
    <t>13 SN entre Calles 14 y 3 Frente A Canchas de Futbol Col. Emiliano Zapata</t>
  </si>
  <si>
    <t>Puebla-CAF Colonia Reforma Sur</t>
  </si>
  <si>
    <t>2029</t>
  </si>
  <si>
    <t>PLIST000340</t>
  </si>
  <si>
    <t>021-214-16</t>
  </si>
  <si>
    <t>021_214_16_CAF_Colonia_Reforma_Sur</t>
  </si>
  <si>
    <t>CAF Colonia Reforma Sur</t>
  </si>
  <si>
    <t>Sur 4 Sur No. 311 Col. Reforma Sur</t>
  </si>
  <si>
    <t>Reforma Sur</t>
  </si>
  <si>
    <t>Tamaulipas-CAF Control</t>
  </si>
  <si>
    <t>2494</t>
  </si>
  <si>
    <t>TSIST000276</t>
  </si>
  <si>
    <t>028-207-01</t>
  </si>
  <si>
    <t>028_207_01_CAF_Control</t>
  </si>
  <si>
    <t>CAF Control</t>
  </si>
  <si>
    <t>Retana Pegado al Edificio de Sarch No. 14 Col. Campamento Sarch C1 Km.9</t>
  </si>
  <si>
    <t>Heroica Matamoros</t>
  </si>
  <si>
    <t>Aguascalientes-CAF Cosio</t>
  </si>
  <si>
    <t>2237</t>
  </si>
  <si>
    <t>ASIST000115</t>
  </si>
  <si>
    <t>001-205-09</t>
  </si>
  <si>
    <t>001_205_09_CAF_Cosio</t>
  </si>
  <si>
    <t>CAF Cosio</t>
  </si>
  <si>
    <t>Guerrero No. 15 Norte Col. Centro</t>
  </si>
  <si>
    <t>Cosio</t>
  </si>
  <si>
    <t>Guerrero-CAF Cruz Grande</t>
  </si>
  <si>
    <t>GRIST000416</t>
  </si>
  <si>
    <t>012-208-06</t>
  </si>
  <si>
    <t>012_208_06_CAF_Cruz_Grande</t>
  </si>
  <si>
    <t>CAF Cruz Grande</t>
  </si>
  <si>
    <t>Plaza Principal SN Col. Centro</t>
  </si>
  <si>
    <t>Florencio Villarreal</t>
  </si>
  <si>
    <t>CDMX-CAF Cuajimalpa</t>
  </si>
  <si>
    <t>2409</t>
  </si>
  <si>
    <t>DFIST000616</t>
  </si>
  <si>
    <t>094-212-05</t>
  </si>
  <si>
    <t>094_212_05_CAF_Cuajimalpa</t>
  </si>
  <si>
    <t>CAF Cuajimalpa</t>
  </si>
  <si>
    <t>Av. Privada Juarez SN Col. Cuajimalpa</t>
  </si>
  <si>
    <t>Cuajimalpa</t>
  </si>
  <si>
    <t>05000</t>
  </si>
  <si>
    <t>Guerrero-CAF Cutzamala de Pinzon</t>
  </si>
  <si>
    <t>GRIST000404</t>
  </si>
  <si>
    <t>012-206-07</t>
  </si>
  <si>
    <t>012_206_07_CAF_Cutzamala_de_Pinzon</t>
  </si>
  <si>
    <t>CAF Cutzamala de Pinzon</t>
  </si>
  <si>
    <t>Emiliano Zapata SN Col. Centro</t>
  </si>
  <si>
    <t>Cutzamala de Pinzon</t>
  </si>
  <si>
    <t>Guanajuato-CAF Dr Mora</t>
  </si>
  <si>
    <t>2855</t>
  </si>
  <si>
    <t>GTIST000272</t>
  </si>
  <si>
    <t>011-206-07</t>
  </si>
  <si>
    <t>011_206_07_CAF_Dr_Mora</t>
  </si>
  <si>
    <t>CAF Dr Mora</t>
  </si>
  <si>
    <t>Fulgencio Guerrero SN Col. La Cantera</t>
  </si>
  <si>
    <t>Doctor Mora</t>
  </si>
  <si>
    <t>Sinaloa-CAF El Carrizo</t>
  </si>
  <si>
    <t>2055</t>
  </si>
  <si>
    <t>SLIST000283</t>
  </si>
  <si>
    <t>025-205-05</t>
  </si>
  <si>
    <t>025_205_05_CAF_El_Carrizo</t>
  </si>
  <si>
    <t>Sinaloa</t>
  </si>
  <si>
    <t>CAF El Carrizo</t>
  </si>
  <si>
    <t>Av. Rio San Lorenzo SN Gustavo Diaz Ordaz El Carrizo Col. Aome Sinaloa</t>
  </si>
  <si>
    <t>Sinaloa de Leyva</t>
  </si>
  <si>
    <t>Morelos-CAF Emiliano Zapata 1</t>
  </si>
  <si>
    <t>2555</t>
  </si>
  <si>
    <t>MSIST000165</t>
  </si>
  <si>
    <t>017-206-02</t>
  </si>
  <si>
    <t>017_206_02_CAF_Emiliano_Zapata_1</t>
  </si>
  <si>
    <t>CAF Emiliano Zapata 1</t>
  </si>
  <si>
    <t>Centro Urbano Metropolitano Emiliano Zapata Cumez Edificio de la Instancia de la Mujer Oficina 1 y 2 Carr. Federal Zapata Tezoyuca SN Col. El Amate</t>
  </si>
  <si>
    <t>Emiliano Zapata</t>
  </si>
  <si>
    <t>Puebla-CAF Estacion Atencingo</t>
  </si>
  <si>
    <t>4586</t>
  </si>
  <si>
    <t>PLIST000253</t>
  </si>
  <si>
    <t>021-206-01</t>
  </si>
  <si>
    <t>021_206_01_CAF_Estacion_Atencingo</t>
  </si>
  <si>
    <t>CAF Estacion Atencingo</t>
  </si>
  <si>
    <t>Junta Auxiliar de Atencingo Benito Juarez No. 33 Col. La Paz de la Poblacion de Villa Atencingo</t>
  </si>
  <si>
    <t>Chiautla</t>
  </si>
  <si>
    <t>Baja California-CAF Estacion Delta</t>
  </si>
  <si>
    <t>2894</t>
  </si>
  <si>
    <t>BCIST000052</t>
  </si>
  <si>
    <t>002-204-02</t>
  </si>
  <si>
    <t>002_204_02_CAF_Estacion_Delta</t>
  </si>
  <si>
    <t>CAF Estacion Delta</t>
  </si>
  <si>
    <t>Domicilio Conocido Blvd. Delta Col. Estacion Delta</t>
  </si>
  <si>
    <t>Delta (Estacion Delta)</t>
  </si>
  <si>
    <t>Sinaloa-CAF Estacion Naranjo</t>
  </si>
  <si>
    <t>3310</t>
  </si>
  <si>
    <t>SLIST000370</t>
  </si>
  <si>
    <t>025-205-07</t>
  </si>
  <si>
    <t>025_205_07_CAF_Estacion_Naranjo_</t>
  </si>
  <si>
    <t>CAF Estacion Naranjo</t>
  </si>
  <si>
    <t>Gabriel Leyva SN Col. Centro</t>
  </si>
  <si>
    <t>Estacion Naranjo</t>
  </si>
  <si>
    <t>Queretaro-CAF Ezequiel Montes</t>
  </si>
  <si>
    <t>2724</t>
  </si>
  <si>
    <t>QTIST000133</t>
  </si>
  <si>
    <t>022-205-07</t>
  </si>
  <si>
    <t>022_205_07_CAF_Ezequiel_Montes</t>
  </si>
  <si>
    <t>CAF Ezequiel Montes</t>
  </si>
  <si>
    <t>Av. Las Fuentes No. 10 Fracc. Las Fuentes Col. Centro</t>
  </si>
  <si>
    <t>Ezequiel Montes</t>
  </si>
  <si>
    <t>Puebla-CAF FOVISSSTE Villa Verde</t>
  </si>
  <si>
    <t>2033</t>
  </si>
  <si>
    <t>PLIST000352</t>
  </si>
  <si>
    <t>021-214-17</t>
  </si>
  <si>
    <t>021_214_17_CAF_FOVISSSTE_Villa_Verde</t>
  </si>
  <si>
    <t>CAF FOVISSSTE Villa Verde</t>
  </si>
  <si>
    <t>Rementeria Prol. de la 56 Nte Ed. 19 Dep. 8 Fovissste Villa Verde 1 enfrente del Bosque Col. Fovissste Villa Verde</t>
  </si>
  <si>
    <t>Sinaloa-CAF Gato de Lara</t>
  </si>
  <si>
    <t>4529</t>
  </si>
  <si>
    <t>SLIST000300</t>
  </si>
  <si>
    <t>025-206-13</t>
  </si>
  <si>
    <t>025_206_13_CAF_Gato_de_Lara</t>
  </si>
  <si>
    <t>CAF Gato de Lara</t>
  </si>
  <si>
    <t>Km 42.5 Carr. Angostura Gato de Lara Col. Sindicatura la Reforma</t>
  </si>
  <si>
    <t>Angostura</t>
  </si>
  <si>
    <t>Tamaulipas-CAF Hidalgo</t>
  </si>
  <si>
    <t>2047</t>
  </si>
  <si>
    <t>TSIST000240</t>
  </si>
  <si>
    <t>028-204-05</t>
  </si>
  <si>
    <t>028_204_05_CAF_Hidalgo</t>
  </si>
  <si>
    <t>CAF Hidalgo</t>
  </si>
  <si>
    <t>Ocampo SN entre Julian de la Cerda y Pedro J. Mendez dentro de las Instalaciones del DIF Col. Centro</t>
  </si>
  <si>
    <t>Sinaloa-CAF Higuera de Zaragoza</t>
  </si>
  <si>
    <t>3298</t>
  </si>
  <si>
    <t>SLIST000295</t>
  </si>
  <si>
    <t>025-205-09</t>
  </si>
  <si>
    <t>025_205_09_CAF_Higuera_de_Zaragoza</t>
  </si>
  <si>
    <t>CAF Higuera de Zaragoza</t>
  </si>
  <si>
    <t>Zaragoza SN Col Centro</t>
  </si>
  <si>
    <t>Higuera de Zaragoza</t>
  </si>
  <si>
    <t>Hidalgo-CAF Huautla</t>
  </si>
  <si>
    <t>3127</t>
  </si>
  <si>
    <t>HGIST000193</t>
  </si>
  <si>
    <t>013-207-01</t>
  </si>
  <si>
    <t>013_207_01_CAF_Huautla</t>
  </si>
  <si>
    <t>Hidalgo</t>
  </si>
  <si>
    <t>CAF Huautla</t>
  </si>
  <si>
    <t>Rafael Olivares con Gonzales de la Cruz Col. Barrio Alto</t>
  </si>
  <si>
    <t>Huautla</t>
  </si>
  <si>
    <t>Puebla-CAF Huejotzingo</t>
  </si>
  <si>
    <t>2702</t>
  </si>
  <si>
    <t>PLIST000282</t>
  </si>
  <si>
    <t>021-209-01</t>
  </si>
  <si>
    <t>021_209_01_CAF_Huejotzingo</t>
  </si>
  <si>
    <t>CAF Huejotzingo</t>
  </si>
  <si>
    <t>Av. Carlos B Zetina No. 815 Letra C Col. Barrio Primero</t>
  </si>
  <si>
    <t>Huejotzingo</t>
  </si>
  <si>
    <t>Nuevo Leon-CAF Iturbide</t>
  </si>
  <si>
    <t>4532</t>
  </si>
  <si>
    <t>NLIST000262</t>
  </si>
  <si>
    <t>019-204-12</t>
  </si>
  <si>
    <t>019_204_12_CAF_Iturbide</t>
  </si>
  <si>
    <t>CAF Iturbide</t>
  </si>
  <si>
    <t>Allende SN Esq. Guadalupe Victoria Col. Centro</t>
  </si>
  <si>
    <t>Iturbide</t>
  </si>
  <si>
    <t>Morelos-CAF Jiutepec</t>
  </si>
  <si>
    <t>3894</t>
  </si>
  <si>
    <t>MSIST000182</t>
  </si>
  <si>
    <t>017-206-03</t>
  </si>
  <si>
    <t>017_206_03_CAF_Jiutepec</t>
  </si>
  <si>
    <t>CAF Jiutepec</t>
  </si>
  <si>
    <t>5 de Mayo No. 16 Col. Centro</t>
  </si>
  <si>
    <t>Jiutepec</t>
  </si>
  <si>
    <t>Veracruz-CAF Las Choapas</t>
  </si>
  <si>
    <t>3411</t>
  </si>
  <si>
    <t>VZIST000465</t>
  </si>
  <si>
    <t>030-210-03</t>
  </si>
  <si>
    <t>030_210_03_CAF_Las_Choapas</t>
  </si>
  <si>
    <t>Veracruz</t>
  </si>
  <si>
    <t>CAF Las Choapas</t>
  </si>
  <si>
    <t>Nayarit 120 Col. Mexico</t>
  </si>
  <si>
    <t>Las Choapas</t>
  </si>
  <si>
    <t>Zacatecas-CAF Luis Moya</t>
  </si>
  <si>
    <t>ZSIST000201</t>
  </si>
  <si>
    <t>032-204-14</t>
  </si>
  <si>
    <t>032_204_14_CAF_Luis_Moya</t>
  </si>
  <si>
    <t>CAF Luis Moya</t>
  </si>
  <si>
    <t>Calle Nicolas Bravo S/N Col. Centro</t>
  </si>
  <si>
    <t>Luis Moya</t>
  </si>
  <si>
    <t>Jalisco-CAF Modelo</t>
  </si>
  <si>
    <t>2053</t>
  </si>
  <si>
    <t>JCIST000424</t>
  </si>
  <si>
    <t>014-206-27</t>
  </si>
  <si>
    <t>014_206_27_CAF_Modelo</t>
  </si>
  <si>
    <t>Jalisco</t>
  </si>
  <si>
    <t>CAF Modelo</t>
  </si>
  <si>
    <t>Av. Marcelino Garcia Barragan 34 Col. Unidad Morelo</t>
  </si>
  <si>
    <t>Modelo</t>
  </si>
  <si>
    <t>Tabasco-CAF Nacajuca</t>
  </si>
  <si>
    <t>2058</t>
  </si>
  <si>
    <t>TCIST000133</t>
  </si>
  <si>
    <t>027-206-13</t>
  </si>
  <si>
    <t>027_206_13_CAF_Nacajuca</t>
  </si>
  <si>
    <t>CAF Nacajuca</t>
  </si>
  <si>
    <t>Nicolas Bravo No. 166 Col. del Carmen</t>
  </si>
  <si>
    <t>Nacajuca</t>
  </si>
  <si>
    <t>Zacatecas-CAF Nieves</t>
  </si>
  <si>
    <t>ZSIST000312</t>
  </si>
  <si>
    <t>032-205-16</t>
  </si>
  <si>
    <t>032_205_16_CAF_Nieves</t>
  </si>
  <si>
    <t>CAF Nieves</t>
  </si>
  <si>
    <t>Calle Tacuba No. 14B Col. Centro</t>
  </si>
  <si>
    <t>General Francisco R Murguia</t>
  </si>
  <si>
    <t>Tamaulipas-CAF Nueva Cd Guerrero</t>
  </si>
  <si>
    <t>3378</t>
  </si>
  <si>
    <t>TSIST000223</t>
  </si>
  <si>
    <t>028-208-01</t>
  </si>
  <si>
    <t>028_208_01_CAF_Nueva_Cd_Guerrero</t>
  </si>
  <si>
    <t>CAF Nueva Cd Guerrero</t>
  </si>
  <si>
    <t>Hidalgo entre Juarez y Jimenez Col. Centro</t>
  </si>
  <si>
    <t>Nueva Cd Guerrero</t>
  </si>
  <si>
    <t>Tamaulipas-CAF Nueva Cd Gustavo Diaz Ordaz</t>
  </si>
  <si>
    <t>4600</t>
  </si>
  <si>
    <t>TSIST000235</t>
  </si>
  <si>
    <t>028-206-02</t>
  </si>
  <si>
    <t>028_206_02_CAF_Nueva_Cd_Gustavo_Diaz_Ordaz</t>
  </si>
  <si>
    <t>CAF Nueva Cd Gustavo Diaz Ordaz</t>
  </si>
  <si>
    <t>Decima Quinta entre Diaz Ordaz y Francisco I. Madero No. 602 Col. Zona Centro</t>
  </si>
  <si>
    <t>Cd. Gustavo Diaz Ordaz</t>
  </si>
  <si>
    <t>Morelos-CAF Ocuituco</t>
  </si>
  <si>
    <t>4550</t>
  </si>
  <si>
    <t>MSIST000322</t>
  </si>
  <si>
    <t>017-205-12</t>
  </si>
  <si>
    <t>017_205_12_CAF_Ocuituco</t>
  </si>
  <si>
    <t>CAF Ocuituco</t>
  </si>
  <si>
    <t>Encino SN Col. Barrio de San Nicolas</t>
  </si>
  <si>
    <t>Ocuituco</t>
  </si>
  <si>
    <t>Tamaulipas-CAF Padilla</t>
  </si>
  <si>
    <t>2038</t>
  </si>
  <si>
    <t>TSIST000305</t>
  </si>
  <si>
    <t>028-204-08</t>
  </si>
  <si>
    <t>028_204_08_CAF_Padilla</t>
  </si>
  <si>
    <t>CAF Padilla</t>
  </si>
  <si>
    <t>Aquiles Serdan SN entre Hidalgo y Morelos Municipio de Nuevo Padilla Tamaulipas Col. Padilla</t>
  </si>
  <si>
    <t>Nuevo Padilla</t>
  </si>
  <si>
    <t>Queretaro-CAF Pedro Escobedo</t>
  </si>
  <si>
    <t>2729</t>
  </si>
  <si>
    <t>QTIST000145</t>
  </si>
  <si>
    <t>022-205-16</t>
  </si>
  <si>
    <t>022_205_16_CAF_Pedro_Escobedo</t>
  </si>
  <si>
    <t>CAF Pedro Escobedo</t>
  </si>
  <si>
    <t>Revolucion No. 33 Col. Centro</t>
  </si>
  <si>
    <t>Pedro Escobedo</t>
  </si>
  <si>
    <t>Quintana Roo-CAF Playa del Carmen</t>
  </si>
  <si>
    <t>2868</t>
  </si>
  <si>
    <t>QRIST000101</t>
  </si>
  <si>
    <t>023-205-03</t>
  </si>
  <si>
    <t>023_205_03_CAF_Playa_del_Carmen</t>
  </si>
  <si>
    <t>CAF Playa del Carmen</t>
  </si>
  <si>
    <t>14 Bis Lote 6 y 7 entre 35 y 40 Col. Gonzalo Guerrero</t>
  </si>
  <si>
    <t>Playa del Carmen</t>
  </si>
  <si>
    <t>Morelos-CAF Puente de Ixtla</t>
  </si>
  <si>
    <t>2700</t>
  </si>
  <si>
    <t>MSIST000194</t>
  </si>
  <si>
    <t>017-206-06</t>
  </si>
  <si>
    <t>017_206_06_CAF_Puente_de_Ixtla</t>
  </si>
  <si>
    <t>CAF Puente de Ixtla</t>
  </si>
  <si>
    <t>Sor Juana Ines de la Cruz SN Esq. Manuel Acuna Col. Jardines de la Herradura</t>
  </si>
  <si>
    <t>Puente de Ixtla</t>
  </si>
  <si>
    <t>Coahuila-CAF Ramos Arizpe</t>
  </si>
  <si>
    <t>4538</t>
  </si>
  <si>
    <t>CLIST000263</t>
  </si>
  <si>
    <t>005-220-06</t>
  </si>
  <si>
    <t>005_220_06_CAF_Ramos_Arizpe</t>
  </si>
  <si>
    <t>CAF Ramos Arizpe</t>
  </si>
  <si>
    <t>Allende No 231 Col. Centro</t>
  </si>
  <si>
    <t>Ramos Arizpe</t>
  </si>
  <si>
    <t>Zacatecas-CAF Sain Alto</t>
  </si>
  <si>
    <t>3424</t>
  </si>
  <si>
    <t>ZSIST000365</t>
  </si>
  <si>
    <t>032-205-20</t>
  </si>
  <si>
    <t>032_205_20_CAF_Sain_Alto</t>
  </si>
  <si>
    <t>CAF Sain Alto</t>
  </si>
  <si>
    <t>Privada de Victoria SN Zona Centro Col. Centro</t>
  </si>
  <si>
    <t>Sain Alto</t>
  </si>
  <si>
    <t>Hidalgo-CAF San Felipe Orizatlan</t>
  </si>
  <si>
    <t>3123</t>
  </si>
  <si>
    <t>HGIST000246</t>
  </si>
  <si>
    <t>013-207-02</t>
  </si>
  <si>
    <t>013_207_02_CAF_San_Felipe_Orizatlan</t>
  </si>
  <si>
    <t>CAF San Felipe Orizatlan</t>
  </si>
  <si>
    <t>Entre Vicente Suarez y Francisco Marquez Col. Loma Bonita</t>
  </si>
  <si>
    <t>San Felipe Orizatlan</t>
  </si>
  <si>
    <t>Aguascalientes-CAF San Francisco de los Romo</t>
  </si>
  <si>
    <t>2431</t>
  </si>
  <si>
    <t>ASIST000131</t>
  </si>
  <si>
    <t>001-205-11</t>
  </si>
  <si>
    <t>001_205_11_CAF_San_Francisco_de_los_Romo</t>
  </si>
  <si>
    <t>CAF San Francisco de los Romo</t>
  </si>
  <si>
    <t>Av. Independencia SN Esq. Romo del Vivar Col. Centro</t>
  </si>
  <si>
    <t>San Francisco de los Romo</t>
  </si>
  <si>
    <t>Baja California Sur-CAF San Ignacio</t>
  </si>
  <si>
    <t>2915</t>
  </si>
  <si>
    <t>BSIST000212</t>
  </si>
  <si>
    <t>003-206-06</t>
  </si>
  <si>
    <t>003_206_06_CAF_San_Ignacio</t>
  </si>
  <si>
    <t>CAF San Ignacio</t>
  </si>
  <si>
    <t>Benito Juarez SN Col. Centro</t>
  </si>
  <si>
    <t>Mulege</t>
  </si>
  <si>
    <t>Aguascalientes-CAF San Jose de Gracia</t>
  </si>
  <si>
    <t>2315</t>
  </si>
  <si>
    <t>ASIST000103</t>
  </si>
  <si>
    <t>001-205-08</t>
  </si>
  <si>
    <t>001_205_08_CAF_San_Jose_de_Gracia</t>
  </si>
  <si>
    <t>CAF San Jose de Gracia</t>
  </si>
  <si>
    <t>Juan Dominguez No. 130 Col. Centro</t>
  </si>
  <si>
    <t>San Jose de Gracia</t>
  </si>
  <si>
    <t>Chihuahua-CAF San Juanito</t>
  </si>
  <si>
    <t>2585</t>
  </si>
  <si>
    <t>CHIST000240</t>
  </si>
  <si>
    <t>008-210-06</t>
  </si>
  <si>
    <t>008_210_06_CAF_San_Juanito</t>
  </si>
  <si>
    <t>CAF San Juanito</t>
  </si>
  <si>
    <t>Tascates y Bolivar SN Col. Burocratas</t>
  </si>
  <si>
    <t>Cd Cuauhtemoc</t>
  </si>
  <si>
    <t>Tamaulipas-CAF Santander Jimenez</t>
  </si>
  <si>
    <t>2037</t>
  </si>
  <si>
    <t>TSIST000264</t>
  </si>
  <si>
    <t>028-204-04</t>
  </si>
  <si>
    <t>028_204_04_CAF_Santander_Jimenez</t>
  </si>
  <si>
    <t>CAF Santander Jimenez</t>
  </si>
  <si>
    <t>Aldama SN Col. Centro</t>
  </si>
  <si>
    <t>Santader Jimenez</t>
  </si>
  <si>
    <t>Jalisco-CAF Sayula</t>
  </si>
  <si>
    <t>2049</t>
  </si>
  <si>
    <t>JCIST000675</t>
  </si>
  <si>
    <t>014-208-08</t>
  </si>
  <si>
    <t>014_208_08_CAF_Sayula</t>
  </si>
  <si>
    <t>CAF Sayula</t>
  </si>
  <si>
    <t>Francisco Rubalcada No. 40 Col. Centro</t>
  </si>
  <si>
    <t>Sayula</t>
  </si>
  <si>
    <t>Tamaulipas-CAF Soto la Marina</t>
  </si>
  <si>
    <t>2045</t>
  </si>
  <si>
    <t>TSIST000124</t>
  </si>
  <si>
    <t>028-204-12</t>
  </si>
  <si>
    <t>028_204_12_CAF_Soto_la_Marina</t>
  </si>
  <si>
    <t>CAF Soto la Marina</t>
  </si>
  <si>
    <t>Diaz Miron SN Esq. Manuel Acuna Col. Centro</t>
  </si>
  <si>
    <t>Cd Soto La Marina</t>
  </si>
  <si>
    <t>Zacatecas-CAF Tabasco</t>
  </si>
  <si>
    <t>ZSIST000225</t>
  </si>
  <si>
    <t>032-204-22</t>
  </si>
  <si>
    <t>032_204_22_CAF_Tabasco</t>
  </si>
  <si>
    <t>CAF Tabasco</t>
  </si>
  <si>
    <t>Calle Santos Degollado No. 2 Col. Centro</t>
  </si>
  <si>
    <t>Estado de Mexico-CAF Tecamac de Felipe Villanueva</t>
  </si>
  <si>
    <t>4598</t>
  </si>
  <si>
    <t>MCIST000372</t>
  </si>
  <si>
    <t>015-205-05</t>
  </si>
  <si>
    <t>015_205_05_CAF_Tecamac_de_Felipe_Villanueva</t>
  </si>
  <si>
    <t>CAF Tecamac de Felipe Villanueva</t>
  </si>
  <si>
    <t>Circuito Mexiquense SN Esq. Bosques de Chapultepec Col. Heroes Tecamac</t>
  </si>
  <si>
    <t>Tecamac</t>
  </si>
  <si>
    <t>Campeche-CAF Tenabo</t>
  </si>
  <si>
    <t>4505</t>
  </si>
  <si>
    <t>CCIST000115</t>
  </si>
  <si>
    <t>004-204-08</t>
  </si>
  <si>
    <t>004_204_08_CAF_Tenabo</t>
  </si>
  <si>
    <t>CAF Tenabo</t>
  </si>
  <si>
    <t>11 SN Av. Jacinto Canek Col. Esperanza</t>
  </si>
  <si>
    <t>Tenabo</t>
  </si>
  <si>
    <t>Hidalgo-CAF Tenango de Doria</t>
  </si>
  <si>
    <t>3129</t>
  </si>
  <si>
    <t>HGIST000292</t>
  </si>
  <si>
    <t>013-206-02</t>
  </si>
  <si>
    <t>013_206_02_CAF_Tenango_de_Doria</t>
  </si>
  <si>
    <t>CAF Tenango de Doria</t>
  </si>
  <si>
    <t>Mexico 68 SN Col. Olimpica</t>
  </si>
  <si>
    <t>Tenango de Doria</t>
  </si>
  <si>
    <t>Morelos-CAF Tepalcingo</t>
  </si>
  <si>
    <t>2695</t>
  </si>
  <si>
    <t>MSIST000211</t>
  </si>
  <si>
    <t>017-205-02</t>
  </si>
  <si>
    <t>017_205_02_CAF_Tepalcingo</t>
  </si>
  <si>
    <t>CAF Tepalcingo</t>
  </si>
  <si>
    <t>Av. 5 de Mayo Esq. Nezahualcoyotl Col. Barrio de Guadalupe</t>
  </si>
  <si>
    <t>Tepalcingo</t>
  </si>
  <si>
    <t>Morelos-CAF Tepoztlan</t>
  </si>
  <si>
    <t>4556</t>
  </si>
  <si>
    <t>MSIST000223</t>
  </si>
  <si>
    <t>017-206-09</t>
  </si>
  <si>
    <t>017_206_09_CAF_Tepoztlan</t>
  </si>
  <si>
    <t>CAF Tepoztlan</t>
  </si>
  <si>
    <t>Galeana No. 36 entre del Tesoro y de la Mora Col. Barrio los Reyes</t>
  </si>
  <si>
    <t>Tepoztlan</t>
  </si>
  <si>
    <t>Morelos-CAF Tetela del Volcan</t>
  </si>
  <si>
    <t>4555</t>
  </si>
  <si>
    <t>MSIST000235</t>
  </si>
  <si>
    <t>017-205-08</t>
  </si>
  <si>
    <t>017_205_08_CAF_Tetela_del_Volcan</t>
  </si>
  <si>
    <t>CAF Tetela del Volcan</t>
  </si>
  <si>
    <t>Calvario SN Col. Barrio de Santiago</t>
  </si>
  <si>
    <t>Tetela del Volcan</t>
  </si>
  <si>
    <t>Yucatan-CAF Tixkokob</t>
  </si>
  <si>
    <t>2541</t>
  </si>
  <si>
    <t>YNIST000153</t>
  </si>
  <si>
    <t>031-201-14</t>
  </si>
  <si>
    <t>031_201_14_CAF_Tixkokob</t>
  </si>
  <si>
    <t>CAF Tixkokob</t>
  </si>
  <si>
    <t>17 No. 100 G Cruzamientos 24 y 26 Col. Centro</t>
  </si>
  <si>
    <t>Tixkokob</t>
  </si>
  <si>
    <t>Morelos-CAF Tlaltizapan</t>
  </si>
  <si>
    <t>3895</t>
  </si>
  <si>
    <t>MSIST000240</t>
  </si>
  <si>
    <t>017-208-03</t>
  </si>
  <si>
    <t>017_208_03_CAF_Tlaltizapan</t>
  </si>
  <si>
    <t>CAF Tlaltizapan</t>
  </si>
  <si>
    <t>Av. 5 de Febrero No. 37 Col. Centro</t>
  </si>
  <si>
    <t>Morelos-CAF Tlayacapan</t>
  </si>
  <si>
    <t>4551</t>
  </si>
  <si>
    <t>MSIST000252</t>
  </si>
  <si>
    <t>017-205-03</t>
  </si>
  <si>
    <t>017_205_03_CAF_Tlayacapan</t>
  </si>
  <si>
    <t>CAF Tlayacapan</t>
  </si>
  <si>
    <t>Crretera Federal Xochimilco Oaxtepec Col. Texalco</t>
  </si>
  <si>
    <t>Tlayacapan</t>
  </si>
  <si>
    <t>Morelos-CAF Tres Marias</t>
  </si>
  <si>
    <t>2705</t>
  </si>
  <si>
    <t>MSIST000170</t>
  </si>
  <si>
    <t>017-206-13</t>
  </si>
  <si>
    <t>017_206_13_CAF_Tres_Marias</t>
  </si>
  <si>
    <t>CAF Tres Marias</t>
  </si>
  <si>
    <t>Av. Cuahutemoc No. 40 Plaza Tulipanes Local 4 Col. Centro</t>
  </si>
  <si>
    <t>Tres Marias</t>
  </si>
  <si>
    <t>Tamaulipas-CAF Tula</t>
  </si>
  <si>
    <t>3370</t>
  </si>
  <si>
    <t>TSIST000322</t>
  </si>
  <si>
    <t>028-204-09</t>
  </si>
  <si>
    <t>028_204_09_CAF_Tula</t>
  </si>
  <si>
    <t>CAF Tula</t>
  </si>
  <si>
    <t>Rayon SN Col. Barrio de las Piedras</t>
  </si>
  <si>
    <t>Cd Tula</t>
  </si>
  <si>
    <t>Sonora-CAF UH FOVISSSTE 1 Hermosillo</t>
  </si>
  <si>
    <t>4533</t>
  </si>
  <si>
    <t>SRIST000331</t>
  </si>
  <si>
    <t>026-212-08</t>
  </si>
  <si>
    <t>026_212_08_CAF_UH_FOVISSSTE_1_Hermosillo</t>
  </si>
  <si>
    <t>CAF UH FOVISSSTE 1 Hermosillo</t>
  </si>
  <si>
    <t>Blvd. Solidaridad No. 9001 Col. Fovissste</t>
  </si>
  <si>
    <t>Sinaloa-CAF UH FOVISSSTE Catra Casa del Trabajador</t>
  </si>
  <si>
    <t>2270</t>
  </si>
  <si>
    <t>SLIST000312</t>
  </si>
  <si>
    <t>025-206-12</t>
  </si>
  <si>
    <t>025_206_12_CAF_UH_FOVISSSTE_Catra_Casa_del_Trabajador</t>
  </si>
  <si>
    <t>CAF UH FOVISSSTE Catra Casa del Trabajador</t>
  </si>
  <si>
    <t>Articulo 123 No. 1281 Col. Fovissste Chapultepec</t>
  </si>
  <si>
    <t>Culiacan</t>
  </si>
  <si>
    <t>Coahuila-CAF UH FOVISSSTE Chapultepec</t>
  </si>
  <si>
    <t>2094</t>
  </si>
  <si>
    <t>CLIST000275</t>
  </si>
  <si>
    <t>005-220-02</t>
  </si>
  <si>
    <t>005_220_02_CAF_UH_FOVISSSTE_Chapultepec</t>
  </si>
  <si>
    <t>CAF UH FOVISSSTE Chapultepec</t>
  </si>
  <si>
    <t>Alfonso Reyes 1028 Col. Fracc. Fovissste Chapultepec</t>
  </si>
  <si>
    <t>Estado de Mexico-CAF UH FOVISSSTE Ecatepec de Morelos</t>
  </si>
  <si>
    <t>MCIST000396</t>
  </si>
  <si>
    <t>015-205-04</t>
  </si>
  <si>
    <t>015_205_04_CAF_UH_FOVISSSTE_Ecatepec_de_Morelos</t>
  </si>
  <si>
    <t>CAF UH FOVISSSTE Ecatepec de Morelos</t>
  </si>
  <si>
    <t>Casa del Trabajador L-16 Mz A Col. Fovissste</t>
  </si>
  <si>
    <t>Jalisco-CAF UH FOVISSSTE Miravalle</t>
  </si>
  <si>
    <t>2052</t>
  </si>
  <si>
    <t>JCIST000371</t>
  </si>
  <si>
    <t>014-205-10</t>
  </si>
  <si>
    <t>014_205_10_CAF_UH_FOVISSSTE_Miravalle</t>
  </si>
  <si>
    <t>CAF UH FOVISSSTE Miravalle</t>
  </si>
  <si>
    <t>Av. Cerro del 4 SN Col. Fovissste Miravalle</t>
  </si>
  <si>
    <t>Guadalajara</t>
  </si>
  <si>
    <t>Puebla-CAF UH FOVISSSTE San Roque</t>
  </si>
  <si>
    <t>2024</t>
  </si>
  <si>
    <t>PLIST000323</t>
  </si>
  <si>
    <t>021-214-14</t>
  </si>
  <si>
    <t>021_214_14_CAF_UH_FOVISSSTE_San_Roque</t>
  </si>
  <si>
    <t>CAF UH FOVISSSTE San Roque</t>
  </si>
  <si>
    <t>Venus SN Col. Fovissste San Roque</t>
  </si>
  <si>
    <t>Nuevo Leon-CAF UHF Col Burocratas Federales</t>
  </si>
  <si>
    <t>2235</t>
  </si>
  <si>
    <t>NLIST000146</t>
  </si>
  <si>
    <t>019-204-03</t>
  </si>
  <si>
    <t>019_204_03_CAF_UHF_Col_Burocratas_Federales</t>
  </si>
  <si>
    <t>CAF UHF Col Burocratas Federales</t>
  </si>
  <si>
    <t>Josefa Ortiz de Dominguez No. 2598 Col. Burocratas Federales</t>
  </si>
  <si>
    <t>Monterrey</t>
  </si>
  <si>
    <t>Jalisco-CAF UHF Estatuto Juridico Tuzania</t>
  </si>
  <si>
    <t>2051</t>
  </si>
  <si>
    <t>JCIST000856</t>
  </si>
  <si>
    <t>014-205-09</t>
  </si>
  <si>
    <t>014_205_09_CAF_UHF_Estatuto_Juridico_Tuzania</t>
  </si>
  <si>
    <t>CAF UHF Estatuto Juridico Tuzania</t>
  </si>
  <si>
    <t>Andador Jacobo Galvez SN Col. Zapopan</t>
  </si>
  <si>
    <t>Zapopan</t>
  </si>
  <si>
    <t>Tamaulipas-CAF UHF Las Arboledas</t>
  </si>
  <si>
    <t>3372</t>
  </si>
  <si>
    <t>TSIST000211</t>
  </si>
  <si>
    <t>028-211-02</t>
  </si>
  <si>
    <t>028_211_02_CAF_UHF_Las_Arboledas</t>
  </si>
  <si>
    <t>CAF UHF Las Arboledas</t>
  </si>
  <si>
    <t>Colorines con Av. Los Cedros SN Col. Fracc. Las Arboledas</t>
  </si>
  <si>
    <t>Cd Madero</t>
  </si>
  <si>
    <t>Coahuila-CAF UHF Lomas del Bosque</t>
  </si>
  <si>
    <t>3888</t>
  </si>
  <si>
    <t>CLIST000292</t>
  </si>
  <si>
    <t>005-220-05</t>
  </si>
  <si>
    <t>005_220_05_CAF_UHF_Lomas_del_Bosque</t>
  </si>
  <si>
    <t>CAF UHF Lomas del Bosque</t>
  </si>
  <si>
    <t>Alamos y Naranjos No. 1196 Col. Fracc. Lomas del Bosque</t>
  </si>
  <si>
    <t>Estado de Mexico-CAF Valle de Bravo</t>
  </si>
  <si>
    <t>VPN</t>
  </si>
  <si>
    <t>MCIST000471</t>
  </si>
  <si>
    <t>015-213-14</t>
  </si>
  <si>
    <t>015_213_14_CAF_Valle_de_Bravo</t>
  </si>
  <si>
    <t>CAF Valle de Bravo</t>
  </si>
  <si>
    <t>Carretera Libre Monumento Valle de Bravo, Rancheria de San Martin Obispo</t>
  </si>
  <si>
    <t>Donato Guerra</t>
  </si>
  <si>
    <t>Tamaulipas-CAF Villa Aldama</t>
  </si>
  <si>
    <t>3371</t>
  </si>
  <si>
    <t>TSIST000194</t>
  </si>
  <si>
    <t>028-211-01</t>
  </si>
  <si>
    <t>028_211_01_CAF_Villa_Aldama</t>
  </si>
  <si>
    <t>CAF Villa Aldama</t>
  </si>
  <si>
    <t>Libertad No. 305 entre Matamoros y Guerrero Col. Centro</t>
  </si>
  <si>
    <t>Cd Aldama</t>
  </si>
  <si>
    <t>Queretaro-CAF Villa Colon</t>
  </si>
  <si>
    <t>2725</t>
  </si>
  <si>
    <t>QTIST000121</t>
  </si>
  <si>
    <t>022-205-06</t>
  </si>
  <si>
    <t>022_205_06_CAF_Villa_Colon</t>
  </si>
  <si>
    <t>CAF Villa Colon</t>
  </si>
  <si>
    <t>Carr. Ajuchitlan Colon Km 2 Ex Hacienda Ajuchitlan Col. Ajuchitlan</t>
  </si>
  <si>
    <t>Cd Colon</t>
  </si>
  <si>
    <t>Nuevo Leon-CAF Villa Dorada</t>
  </si>
  <si>
    <t>2721</t>
  </si>
  <si>
    <t>NLIST000175</t>
  </si>
  <si>
    <t>019-204-29</t>
  </si>
  <si>
    <t>019_204_29_CAF_Villa_Dorada</t>
  </si>
  <si>
    <t>CAF Villa Dorada</t>
  </si>
  <si>
    <t>Zapopan No. 4849 Esq. Av. Las Palmas Col. Villa Dorada</t>
  </si>
  <si>
    <t>Estado_de _Mexico-CAF Villa Nicolas Romero</t>
  </si>
  <si>
    <t>MCIST000326</t>
  </si>
  <si>
    <t>015-216-02</t>
  </si>
  <si>
    <t>015_216_02_CAF_Villa_Nicolas_Romero</t>
  </si>
  <si>
    <t>CAF Villa Nicolas Romero</t>
  </si>
  <si>
    <t>Lago Alberto No. 27, Fraccionamiento Los Manantiales</t>
  </si>
  <si>
    <t>Villa Nicolas Romero</t>
  </si>
  <si>
    <t>Morelos-CAF Xochitepec</t>
  </si>
  <si>
    <t>3896</t>
  </si>
  <si>
    <t>MSIST000264</t>
  </si>
  <si>
    <t>017-206-14</t>
  </si>
  <si>
    <t>017_206_14_CAF_Xochitepec</t>
  </si>
  <si>
    <t>CAF Xochitepec</t>
  </si>
  <si>
    <t>Los Cuevas SN Col. Centro Xochitepec</t>
  </si>
  <si>
    <t>Morelos-CAF Xoxocotla</t>
  </si>
  <si>
    <t>3897</t>
  </si>
  <si>
    <t>MSIST000206</t>
  </si>
  <si>
    <t>017-208-04</t>
  </si>
  <si>
    <t>017_208_04_CAF_Xoxocotla</t>
  </si>
  <si>
    <t>CAF Xoxocotla</t>
  </si>
  <si>
    <t>Morelos No. 61 Col. Centro</t>
  </si>
  <si>
    <t>Puebla-CAF Zacapoaxtla</t>
  </si>
  <si>
    <t>3260</t>
  </si>
  <si>
    <t>PLIST000422</t>
  </si>
  <si>
    <t>021-210-06</t>
  </si>
  <si>
    <t>021_210_06_CAF_Zacapoaxtla</t>
  </si>
  <si>
    <t>CAF Zacapoaxtla</t>
  </si>
  <si>
    <t>Jose Maria Alcantara Altos No. 6 entre Av. 5 de Mayo Sur y 16 de Septiembre Sur Col. Centro</t>
  </si>
  <si>
    <t>Zacapoaxtla</t>
  </si>
  <si>
    <t>Morelos-CAF Zacualpan de Amilpas</t>
  </si>
  <si>
    <t>2698</t>
  </si>
  <si>
    <t>MSIST000281</t>
  </si>
  <si>
    <t>017-205-07</t>
  </si>
  <si>
    <t>017_205_07_CAF_Zacualpan_de_Amilpas</t>
  </si>
  <si>
    <t>CAF Zacualpan de Amilpas</t>
  </si>
  <si>
    <t>Hidalgo No. 23 Col. Centro</t>
  </si>
  <si>
    <t>Cuautla</t>
  </si>
  <si>
    <t>CDMX-Capacitacion</t>
  </si>
  <si>
    <t>2828</t>
  </si>
  <si>
    <t>093-304-60</t>
  </si>
  <si>
    <t>093_304_60_Capacitacion</t>
  </si>
  <si>
    <t>Capacitacion</t>
  </si>
  <si>
    <t>Unidad Habitacional Fovissste Fuentes Brotantes 2da Seccion SN Col. Fuentes Brotantes</t>
  </si>
  <si>
    <t>Tlalpan</t>
  </si>
  <si>
    <t>Campeche-Casa de Dia</t>
  </si>
  <si>
    <t>4543</t>
  </si>
  <si>
    <t>004-304-91</t>
  </si>
  <si>
    <t>004_304_91_Casa_de_Dia</t>
  </si>
  <si>
    <t>CD</t>
  </si>
  <si>
    <t>Casa de Dia</t>
  </si>
  <si>
    <t>Av. Miguel Aleman SN entre Ostional y 10 Col. Estacion Antigua</t>
  </si>
  <si>
    <t>San Francisco de Campeche</t>
  </si>
  <si>
    <t>Colima-Casa de Dia</t>
  </si>
  <si>
    <t>4537</t>
  </si>
  <si>
    <t>006-304-91</t>
  </si>
  <si>
    <t>006_304_91_Casa_de_Dia</t>
  </si>
  <si>
    <t>Ignacio Sandoval SN entre Calles Gabriel Mistral y Luis G. Urbina Col. Lomas de Circunvalacion</t>
  </si>
  <si>
    <t>Morelos-Casa de Dia</t>
  </si>
  <si>
    <t>4530</t>
  </si>
  <si>
    <t>017-304-92</t>
  </si>
  <si>
    <t>017_304_92_Casa_de_Dia</t>
  </si>
  <si>
    <t>Humboldt No. 45 Col. Centro</t>
  </si>
  <si>
    <t>Cuernavaca</t>
  </si>
  <si>
    <t>Sinaloa-Casa de Dia Guasave</t>
  </si>
  <si>
    <t>4545</t>
  </si>
  <si>
    <t>025-304-92</t>
  </si>
  <si>
    <t>025_304_92_Casa_de_Dia_Guasave</t>
  </si>
  <si>
    <t>Casa de Dia Guasave</t>
  </si>
  <si>
    <t>Manuel Avila Camacho No. 70 entre Blvd. Pedro Infante y Plutarco Elias Calles Col. Ejidal</t>
  </si>
  <si>
    <t>Guasave</t>
  </si>
  <si>
    <t>CDMX-Casa de Dia para el Adulto Longevo</t>
  </si>
  <si>
    <t>2355</t>
  </si>
  <si>
    <t>_Casa_de_Dia_para_el_Adulto_Longevo</t>
  </si>
  <si>
    <t>Casa de Dia para el Adulto Longevo</t>
  </si>
  <si>
    <t>Bradley No. 72 Col. Anzures</t>
  </si>
  <si>
    <t>Miguel Hidalgo</t>
  </si>
  <si>
    <t>Sinaloa-Casa de la Cultura Culiacan</t>
  </si>
  <si>
    <t>2478</t>
  </si>
  <si>
    <t>025_304_81</t>
  </si>
  <si>
    <t>025_304_81_Casa_de_la_Cultura_Culiacan</t>
  </si>
  <si>
    <t>CC</t>
  </si>
  <si>
    <t>Casa de la Cultura Culiacan</t>
  </si>
  <si>
    <t>Articulo No. 123 Segunda Planta Col. Fovissste Chapultepec</t>
  </si>
  <si>
    <t>Guerrero-CC Acapulco</t>
  </si>
  <si>
    <t>2657</t>
  </si>
  <si>
    <t>012-304-80</t>
  </si>
  <si>
    <t>012_304_80_CC_Acapulco</t>
  </si>
  <si>
    <t>CC Acapulco</t>
  </si>
  <si>
    <t>Av. Paseo de la Comunidad SN Col. Infonavit Industrial</t>
  </si>
  <si>
    <t>Estado de Mexico-CC Chapingo UH FOVISSSTE</t>
  </si>
  <si>
    <t>2444</t>
  </si>
  <si>
    <t>015-304-96</t>
  </si>
  <si>
    <t>015_304_96_CC_Chapingo_UH_FOVISSSTE</t>
  </si>
  <si>
    <t>CC Chapingo UH FOVISSSTE</t>
  </si>
  <si>
    <t>Calle Jose Maria Velasco SN Col. Emiliano Zapata</t>
  </si>
  <si>
    <t>Chapingo</t>
  </si>
  <si>
    <t>Morelos-CC Cuernavaca</t>
  </si>
  <si>
    <t>2217</t>
  </si>
  <si>
    <t>017-304-81</t>
  </si>
  <si>
    <t>017_304_81_CC_Cuernavaca</t>
  </si>
  <si>
    <t>CC Cuernavaca</t>
  </si>
  <si>
    <t>Av. Recursos Hidraulicos SN Col. Las Aguilas</t>
  </si>
  <si>
    <t>Durango-CC Durango</t>
  </si>
  <si>
    <t>2160</t>
  </si>
  <si>
    <t>010-304-83</t>
  </si>
  <si>
    <t>010_304_83_CC_Durango</t>
  </si>
  <si>
    <t>CC Durango</t>
  </si>
  <si>
    <t>C. Bruno Martinez No. 520 Nte, Zona Centro</t>
  </si>
  <si>
    <t>Estado de Mexico-CC Ecatepec</t>
  </si>
  <si>
    <t>4601</t>
  </si>
  <si>
    <t>015-304-87</t>
  </si>
  <si>
    <t>015_304_87_CC_Ecatepec</t>
  </si>
  <si>
    <t>CC Ecatepec</t>
  </si>
  <si>
    <t>Sinaloa SN Esq. Colima Barrio Santa Maria Tulpetlac, San Cristobal Ecatepec</t>
  </si>
  <si>
    <t>Ecatepec</t>
  </si>
  <si>
    <t>Durango-CC Gomez Palacio</t>
  </si>
  <si>
    <t>2031</t>
  </si>
  <si>
    <t>010-304-82</t>
  </si>
  <si>
    <t>010_304_82_CC_Gomez_Palacio</t>
  </si>
  <si>
    <t>CC Gomez Palacio</t>
  </si>
  <si>
    <t>C. Rio Grijalva No. 917, Fracc. del Bosque</t>
  </si>
  <si>
    <t>Gomez Palacio</t>
  </si>
  <si>
    <t>Sonora-CC Hermosillo</t>
  </si>
  <si>
    <t>2288</t>
  </si>
  <si>
    <t>026-304-81</t>
  </si>
  <si>
    <t>026_304_81_CC_Hermosillo</t>
  </si>
  <si>
    <t>CC Hermosillo</t>
  </si>
  <si>
    <t>Aquiles Serdan Esq. Pino Suarez Col. Centro</t>
  </si>
  <si>
    <t>CDMX-CC Ignacio Ramirez</t>
  </si>
  <si>
    <t>2826</t>
  </si>
  <si>
    <t>093-304-83</t>
  </si>
  <si>
    <t>093_304_83_CC_Ignacio_Ramirez</t>
  </si>
  <si>
    <t>CC Ignacio Ramirez</t>
  </si>
  <si>
    <t>San Fernando No. 15 Col. Toriello Guerra</t>
  </si>
  <si>
    <t>Nuevo Leon-CC Monterrey</t>
  </si>
  <si>
    <t>2232</t>
  </si>
  <si>
    <t>019-304-80</t>
  </si>
  <si>
    <t>019_304_80_CC_Monterrey</t>
  </si>
  <si>
    <t>CC Monterrey</t>
  </si>
  <si>
    <t>Puebla-CC Puebla</t>
  </si>
  <si>
    <t>2245</t>
  </si>
  <si>
    <t>021-304-81</t>
  </si>
  <si>
    <t>021_304_81_CC_Puebla</t>
  </si>
  <si>
    <t>CC Puebla</t>
  </si>
  <si>
    <t>Av. 3 Poniente No. 1906. entre 19 Sur y 21 Sur Col. Amor</t>
  </si>
  <si>
    <t>Tlaxcala-CC Pza de la Constitucion Tlaxcala</t>
  </si>
  <si>
    <t>2501</t>
  </si>
  <si>
    <t>029-304-83</t>
  </si>
  <si>
    <t>029_304_83_CC_Pza_de_la_Constitucion_Tlaxcala</t>
  </si>
  <si>
    <t>CC Pza de la Constitucion Tlaxcala</t>
  </si>
  <si>
    <t>Lira y Ortega No. 69 Col. Centro</t>
  </si>
  <si>
    <t>Queretaro-CC Queretaro</t>
  </si>
  <si>
    <t>2250</t>
  </si>
  <si>
    <t>022-304-81</t>
  </si>
  <si>
    <t>022_304_81_CC_Queretaro</t>
  </si>
  <si>
    <t>CC Queretaro</t>
  </si>
  <si>
    <t>Av. Tecnologico No. 101 Nte. Piso 1 Col. Centro</t>
  </si>
  <si>
    <t>Santiago de Queretaro</t>
  </si>
  <si>
    <t>CDMX-CC Regional Poniente Antes EBDI No 39 Universidad y Rio Churubusco</t>
  </si>
  <si>
    <t>2129</t>
  </si>
  <si>
    <t>094-304-22</t>
  </si>
  <si>
    <t>094_304_22_CC_Regional_Poniente_Antes_EBDI_No_39_Universidad_y_Rio_Churubusco</t>
  </si>
  <si>
    <t>CC Regional Poniente Antes EBDI No 39 Universidad y Rio Churubusco</t>
  </si>
  <si>
    <t>Jose Moran No. 81 Col. San Miguel Chapultepec</t>
  </si>
  <si>
    <t>Oaxaca-CC Ricardo Flores Magon Oaxaca</t>
  </si>
  <si>
    <t>2864</t>
  </si>
  <si>
    <t>020-304-80</t>
  </si>
  <si>
    <t>020_304_80_CC_Ricardo_Flores_Magon_Oaxaca</t>
  </si>
  <si>
    <t>Oaxaca</t>
  </si>
  <si>
    <t>CC Ricardo Flores Magon Oaxaca</t>
  </si>
  <si>
    <t>Reforma No. 800 Col. Centro</t>
  </si>
  <si>
    <t>Estado de Mexico-CC Toluca</t>
  </si>
  <si>
    <t>2176</t>
  </si>
  <si>
    <t>015-304-81</t>
  </si>
  <si>
    <t>015_304_81_CC_Toluca</t>
  </si>
  <si>
    <t>CC Toluca</t>
  </si>
  <si>
    <t>Miguel Hidalgo Poniente No. 1016 Col. San Bernandino</t>
  </si>
  <si>
    <t>Toluca</t>
  </si>
  <si>
    <t>Coahuila-CC Torreon</t>
  </si>
  <si>
    <t>2083</t>
  </si>
  <si>
    <t>005-304-86</t>
  </si>
  <si>
    <t>005_304_86_CC_Torreon</t>
  </si>
  <si>
    <t>CC Torreon</t>
  </si>
  <si>
    <t>Abasolo Esq. Fco. I. Madero No. 110 Col. Centro</t>
  </si>
  <si>
    <t>Jalisco-CC Vallarta Guadalajara</t>
  </si>
  <si>
    <t>2202</t>
  </si>
  <si>
    <t>014-304-81</t>
  </si>
  <si>
    <t>014_304_81_CC_Vallarta_Guadalajara</t>
  </si>
  <si>
    <t>CC Vallarta Guadalajara</t>
  </si>
  <si>
    <t>Av. Alcalde No. 500 Col. Alcalde Barranquitas</t>
  </si>
  <si>
    <t>Veracruz-CC Xalapa</t>
  </si>
  <si>
    <t>2518</t>
  </si>
  <si>
    <t>030-304-83</t>
  </si>
  <si>
    <t>030_304_83_CC_Xalapa</t>
  </si>
  <si>
    <t>CC Xalapa</t>
  </si>
  <si>
    <t>Tacuba No. 5 Col. Centro</t>
  </si>
  <si>
    <t>Xalapa</t>
  </si>
  <si>
    <t>Michoacan-CC y de Usos Multiples Morelia</t>
  </si>
  <si>
    <t>2849</t>
  </si>
  <si>
    <t>016-304-92</t>
  </si>
  <si>
    <t>016_304_92_CC_y_de_Usos_Multiples_Morelia</t>
  </si>
  <si>
    <t>Michoacan</t>
  </si>
  <si>
    <t>CC y de Usos Multiples Morelia</t>
  </si>
  <si>
    <t>Heroes de Nocupetaro No. 823 Col. Centro</t>
  </si>
  <si>
    <t>Morelia</t>
  </si>
  <si>
    <t>Guanajuato-Centro Cultural y Deportivo Regional de Guanajuato</t>
  </si>
  <si>
    <t>4509</t>
  </si>
  <si>
    <t>011-304-83</t>
  </si>
  <si>
    <t>011_304_83_Centro_Cultural_y_Deportivo_Regional_de_Guanajuato</t>
  </si>
  <si>
    <t>CC y Deportivo Regional de Guanajuato</t>
  </si>
  <si>
    <t>Alhondiga No. 5 Col. Centro</t>
  </si>
  <si>
    <t>Yucatan-CE CECIS Merida</t>
  </si>
  <si>
    <t>2815</t>
  </si>
  <si>
    <t>_CE_CECIS_Merida</t>
  </si>
  <si>
    <t>CE CECIS Merida</t>
  </si>
  <si>
    <t>19 B No. 372 Edificio Anexo Col. Pedregales de Lindavista</t>
  </si>
  <si>
    <t>CDMX-CE Centro de Apoyo y Diagnostico San Rafael</t>
  </si>
  <si>
    <t>2096</t>
  </si>
  <si>
    <t>DFIST000481</t>
  </si>
  <si>
    <t>091-209-00</t>
  </si>
  <si>
    <t>091_209_00_CE_Centro_de_Apoyo_y_Diagnostico_San_Rafael</t>
  </si>
  <si>
    <t>CE</t>
  </si>
  <si>
    <t>CE Centro de Apoyo y Diagnostico San Rafael</t>
  </si>
  <si>
    <t>Ignacio Altramirano No. 115 Col. San Rafael</t>
  </si>
  <si>
    <t>06470</t>
  </si>
  <si>
    <t>CDMX-CE Churubusco</t>
  </si>
  <si>
    <t>2612</t>
  </si>
  <si>
    <t>DFIST000032</t>
  </si>
  <si>
    <t>093-207-00</t>
  </si>
  <si>
    <t>093_207_00_CE_Churubusco</t>
  </si>
  <si>
    <t>CE Churubusco</t>
  </si>
  <si>
    <t>Calz. de Tlalpan 1983 Col. Parque San Andres</t>
  </si>
  <si>
    <t>Coyoacan</t>
  </si>
  <si>
    <t>04040</t>
  </si>
  <si>
    <t>CDMX-CE CLIDDA</t>
  </si>
  <si>
    <t>2609</t>
  </si>
  <si>
    <t>DFIST000213</t>
  </si>
  <si>
    <t>093-218-00</t>
  </si>
  <si>
    <t>093_218_00_CE_CLIDDA</t>
  </si>
  <si>
    <t>CE CLIDDA</t>
  </si>
  <si>
    <t>Av. Universidad No. 1321 Col. Axotla</t>
  </si>
  <si>
    <t>Alvaro Obregon</t>
  </si>
  <si>
    <t>Quintana Roo-CE CLIDDA</t>
  </si>
  <si>
    <t>3272</t>
  </si>
  <si>
    <t>QRIST000084</t>
  </si>
  <si>
    <t>023-207-00</t>
  </si>
  <si>
    <t>023_207_00_CE_CLIDDA</t>
  </si>
  <si>
    <t>Av. Erick Paolo Martinez Esq. Con Tecnologico Tuxtla Gutierrez SN Col. Magisterial</t>
  </si>
  <si>
    <t>CDMX-CE Cto de Cirugia Amb 1 de Octubre</t>
  </si>
  <si>
    <t>2605</t>
  </si>
  <si>
    <t>DFIST000102</t>
  </si>
  <si>
    <t>091-208-00</t>
  </si>
  <si>
    <t>091_208_00_CE_Cto_de_Cirugia_Amb_1_de_Octubre</t>
  </si>
  <si>
    <t>CE Cto de Cirugia Amb 1 de Octubre</t>
  </si>
  <si>
    <t>Av. Institituto Politecnico Nacional No. 1669 Col. Magdalena de las Salinas</t>
  </si>
  <si>
    <t>07300</t>
  </si>
  <si>
    <t>CDMX-CE Dr Alberto Pisanty Ovadia</t>
  </si>
  <si>
    <t>2608</t>
  </si>
  <si>
    <t>DFIST000493</t>
  </si>
  <si>
    <t>094-211-00</t>
  </si>
  <si>
    <t>094_211_00_CE_Dr_Alberto_Pisanty_Ovadia</t>
  </si>
  <si>
    <t>CE Dr Alberto Pisanty Ovadia</t>
  </si>
  <si>
    <t>Doctora No. 28 Col. Tacubaya</t>
  </si>
  <si>
    <t>CDMX-CE Dr Honorato Villa Esp Dentales</t>
  </si>
  <si>
    <t>2603</t>
  </si>
  <si>
    <t>DFIST000353</t>
  </si>
  <si>
    <t>091-220-00</t>
  </si>
  <si>
    <t>091_220_00_CE_Dr_Honorato_Villa_Esp_Dentales</t>
  </si>
  <si>
    <t>CE Dr Honorato Villa Esp Dentales</t>
  </si>
  <si>
    <t>Av. Prol. Guerrero No. 358 Col. Nonoalco</t>
  </si>
  <si>
    <t>Jalisco-CE Guadalajara</t>
  </si>
  <si>
    <t>2010</t>
  </si>
  <si>
    <t>JCIST000873</t>
  </si>
  <si>
    <t>014-213-00</t>
  </si>
  <si>
    <t>014_213_00_CE_Guadalajara</t>
  </si>
  <si>
    <t>CE Guadalajara</t>
  </si>
  <si>
    <t>Av Patria entre San Esteban y San Felix SN Col Independencia</t>
  </si>
  <si>
    <t>CDMX-CE Indianilla</t>
  </si>
  <si>
    <t>2602</t>
  </si>
  <si>
    <t>DFIST000341</t>
  </si>
  <si>
    <t>091-210-00</t>
  </si>
  <si>
    <t>091_210_00_CE_Indianilla</t>
  </si>
  <si>
    <t>CE Indianilla</t>
  </si>
  <si>
    <t>Dr Flavio Bernard No. 85 Col. Doctores</t>
  </si>
  <si>
    <t>06720</t>
  </si>
  <si>
    <t>CDMX-CE Leonardo y Nicolas Bravo</t>
  </si>
  <si>
    <t>2607</t>
  </si>
  <si>
    <t>DFIST000650</t>
  </si>
  <si>
    <t>092-214-00</t>
  </si>
  <si>
    <t>092_214_00_CE_Leonardo_y_Nicolas_Bravo</t>
  </si>
  <si>
    <t>CE Leonardo y Nicolas Bravo</t>
  </si>
  <si>
    <t>Enrique Contem SN Col. Ejecito Constitucionalista</t>
  </si>
  <si>
    <t>Iztapalapa</t>
  </si>
  <si>
    <t>09220</t>
  </si>
  <si>
    <t>CDMX-CE Medicina Fisica y Rehabilitacion</t>
  </si>
  <si>
    <t>2611</t>
  </si>
  <si>
    <t>DFIST000686</t>
  </si>
  <si>
    <t>093-204-00</t>
  </si>
  <si>
    <t>093_204_00_CE_Medicina_Fisica_y_Rehabilitacion</t>
  </si>
  <si>
    <t>CE Medicina Fisica y Rehabilitacion</t>
  </si>
  <si>
    <t>CDMX-CE Neuropsiquiatria</t>
  </si>
  <si>
    <t>2604</t>
  </si>
  <si>
    <t>DFIST000365</t>
  </si>
  <si>
    <t>091-221-00</t>
  </si>
  <si>
    <t>091_221_00_CE_Neuropsiquiatria</t>
  </si>
  <si>
    <t>CE Neuropsiquiatria</t>
  </si>
  <si>
    <t>Prol. Guerrero 346 Col. Nonoalco</t>
  </si>
  <si>
    <t>CDMX-CEAAM</t>
  </si>
  <si>
    <t>3426</t>
  </si>
  <si>
    <t>_CEAAM</t>
  </si>
  <si>
    <t>CEAAM</t>
  </si>
  <si>
    <t>Palenque No. 57 Col. Narvarte</t>
  </si>
  <si>
    <t>03020</t>
  </si>
  <si>
    <t>CDMX-Centro de Atencion Psicologica</t>
  </si>
  <si>
    <t>4577</t>
  </si>
  <si>
    <t>_Centro_de_Atencion_Psicologica</t>
  </si>
  <si>
    <t>Centro de Atencion Psicologica</t>
  </si>
  <si>
    <t>Av. Melchor Ocampo No. 91 Col. Tlaxpana</t>
  </si>
  <si>
    <t>CDMX-Centro de Desarrollo Humano y Profesional</t>
  </si>
  <si>
    <t>2003</t>
  </si>
  <si>
    <t>_Centro_de_Desarrollo_Humano_y_Profesional</t>
  </si>
  <si>
    <t>Centro de Desarrollo Humano y Profesional</t>
  </si>
  <si>
    <t>Roberto Gayol No. 1421 Col. Del Valle</t>
  </si>
  <si>
    <t>CDMX-Centro Nacional de Gestion de Estancias</t>
  </si>
  <si>
    <t>4514</t>
  </si>
  <si>
    <t>_Centro_Nacional_de_Gestion_de_Estancias</t>
  </si>
  <si>
    <t>Centro Nacional de Gestion de Estancias</t>
  </si>
  <si>
    <t>Unidad Habitacional Fuentes Brotantes Fovissste Col. Miguel Hidalgo</t>
  </si>
  <si>
    <t>Morelos-Centro Recreativo y Cultural ISSSTEHUIXTLA</t>
  </si>
  <si>
    <t>017-304-91</t>
  </si>
  <si>
    <t>017_304_91_Centro_Recreativo_y_Cultural_ISSSTEHUIXTLA</t>
  </si>
  <si>
    <t>Centro Recreativo y Cultural ISSSTEHUIXTLA</t>
  </si>
  <si>
    <t>Av. La Fundicion SN Col. Guadalupe Tehuixtla</t>
  </si>
  <si>
    <t>Jojutla</t>
  </si>
  <si>
    <t>Tamaulipas-CH Agosto 12 Nuevo Laredo</t>
  </si>
  <si>
    <t>2757</t>
  </si>
  <si>
    <t>TSIST000095</t>
  </si>
  <si>
    <t>028-208-00</t>
  </si>
  <si>
    <t>028_208_00_CH_Agosto_12_Nuevo_Laredo</t>
  </si>
  <si>
    <t>CH</t>
  </si>
  <si>
    <t>CH Agosto 12 Nuevo Laredo</t>
  </si>
  <si>
    <t>Reynosa y Bolivar SN Col. Ojo Caliente</t>
  </si>
  <si>
    <t>Nuevo Laredo</t>
  </si>
  <si>
    <t>Michoacan-CH Apatzingan de la Constitucion</t>
  </si>
  <si>
    <t>3137</t>
  </si>
  <si>
    <t>MNIST000016</t>
  </si>
  <si>
    <t>016-206-00</t>
  </si>
  <si>
    <t>016_206_00_CH_Apatzingan_de_la_Constitucion</t>
  </si>
  <si>
    <t>CH Apatzingan de la Constitucion</t>
  </si>
  <si>
    <t>Av. Fco. I. Madero Esq. Matias Romero SN Col. Buenos Aires</t>
  </si>
  <si>
    <t>Apatzingan</t>
  </si>
  <si>
    <t>Baja California Sur-CH Cabo San Lucas</t>
  </si>
  <si>
    <t>4634</t>
  </si>
  <si>
    <t>BSIST000352</t>
  </si>
  <si>
    <t>003-211-00</t>
  </si>
  <si>
    <t>003_211_00_CH_Cabo_San_Lucas</t>
  </si>
  <si>
    <t>CH Cabo San Lucas</t>
  </si>
  <si>
    <t>Av. Portales No. 844 Fraccion 1-B de la Fraccion 1 del Poligono Ab-1 Dentro del Fracc. Los Portales</t>
  </si>
  <si>
    <t>Cabo San Lucas</t>
  </si>
  <si>
    <t>Quintana Roo-CH Cd Cancun</t>
  </si>
  <si>
    <t>2730</t>
  </si>
  <si>
    <t>QRIST000055</t>
  </si>
  <si>
    <t>023-205-00</t>
  </si>
  <si>
    <t>023_205_00_CH_Cd_Cancun</t>
  </si>
  <si>
    <t>CH Cd Cancun</t>
  </si>
  <si>
    <t>Av. Kabah  Esq. Miguel Hidalgo No. 1 Region 93 Lote 5 Col. Centro</t>
  </si>
  <si>
    <t>Cancun</t>
  </si>
  <si>
    <t>Baja California Sur-CH Cd Constitucion</t>
  </si>
  <si>
    <t>2897</t>
  </si>
  <si>
    <t>BSIST000014</t>
  </si>
  <si>
    <t>003-205-00</t>
  </si>
  <si>
    <t>003_205_00_CH_Cd_Constitucion</t>
  </si>
  <si>
    <t>CH Cd Constitucion</t>
  </si>
  <si>
    <t>Av. Ninos Heroes Esq. Lorenza M Viuda de Tapia SN Col. Pueblo Nuevo</t>
  </si>
  <si>
    <t>Comondu</t>
  </si>
  <si>
    <t>Chihuahua-CH Cd Cuahutemoc</t>
  </si>
  <si>
    <t>2582</t>
  </si>
  <si>
    <t>CHIST000025</t>
  </si>
  <si>
    <t>008-210-00</t>
  </si>
  <si>
    <t>008_210_00_CH_Cd_Cuahutemoc</t>
  </si>
  <si>
    <t>CH Cd Cuahutemoc</t>
  </si>
  <si>
    <t>Nogales 4050 Col. Burocratas</t>
  </si>
  <si>
    <t>Campeche-CH Cd del Carmen</t>
  </si>
  <si>
    <t>2918</t>
  </si>
  <si>
    <t>CCIST000033</t>
  </si>
  <si>
    <t>004-205-00</t>
  </si>
  <si>
    <t>004_205_00_CH_Cd_del_Carmen</t>
  </si>
  <si>
    <t>CH Cd del Carmen</t>
  </si>
  <si>
    <t>56 SN Complejo Hospitalario Lic. Pablo Garcia Col. Petrolera</t>
  </si>
  <si>
    <t>Ciudad del Carmen</t>
  </si>
  <si>
    <t>Chihuahua-CH Cd Delicias</t>
  </si>
  <si>
    <t>4548</t>
  </si>
  <si>
    <t>CHIST000515</t>
  </si>
  <si>
    <t>008-206-00</t>
  </si>
  <si>
    <t>008_206_00_CH_Cd_Delicias</t>
  </si>
  <si>
    <t>CH Cd Delicias</t>
  </si>
  <si>
    <t>Av. de las Moras No. 300 Col. Distrito de Riego 05</t>
  </si>
  <si>
    <t>Cd Delicias</t>
  </si>
  <si>
    <t>Jalisco-CH Cd Guzman</t>
  </si>
  <si>
    <t>2676</t>
  </si>
  <si>
    <t>JCIST000045</t>
  </si>
  <si>
    <t>014-208-00</t>
  </si>
  <si>
    <t>014_208_00_CH_Cd_Guzman</t>
  </si>
  <si>
    <t>CH Cd Guzman</t>
  </si>
  <si>
    <t>Insurgentes 159 Col. Francisco I. Madero</t>
  </si>
  <si>
    <t>Cd Guzman</t>
  </si>
  <si>
    <t>Tamaulipas-CH Cd Mante</t>
  </si>
  <si>
    <t>3367</t>
  </si>
  <si>
    <t>TSIST000054</t>
  </si>
  <si>
    <t>028-210-00</t>
  </si>
  <si>
    <t>028_210_00_CH_Cd_Mante</t>
  </si>
  <si>
    <t>CH Cd Mante</t>
  </si>
  <si>
    <t>Guillermo Prieto No. 701 Sur, Tamaulipas</t>
  </si>
  <si>
    <t>Cd Mante</t>
  </si>
  <si>
    <t>Sonora-CH Cd Obregon</t>
  </si>
  <si>
    <t>2750</t>
  </si>
  <si>
    <t>SRIST000046</t>
  </si>
  <si>
    <t>026-205-00</t>
  </si>
  <si>
    <t>026_205_00_CH_Cd_Obregon</t>
  </si>
  <si>
    <t>CH Cd Obregon</t>
  </si>
  <si>
    <t>Av. Mayo Esq. Tehuantepec SN Col. Cincuentenario</t>
  </si>
  <si>
    <t>Cajeme</t>
  </si>
  <si>
    <t>Coahuila-CH Cd Sabinas</t>
  </si>
  <si>
    <t>2991</t>
  </si>
  <si>
    <t>CLIST000181</t>
  </si>
  <si>
    <t>005-210-00</t>
  </si>
  <si>
    <t>005_210_00_CH_Cd_Sabinas</t>
  </si>
  <si>
    <t>CH Cd Sabinas</t>
  </si>
  <si>
    <t>Altamirano 765 Poniente Col Federico Erueco Col. Federico Berrueto Ramon</t>
  </si>
  <si>
    <t>Sabinas</t>
  </si>
  <si>
    <t>San Luis Potosi-CH Cd Valles</t>
  </si>
  <si>
    <t>3282</t>
  </si>
  <si>
    <t>SPIST000055</t>
  </si>
  <si>
    <t>024-205-00</t>
  </si>
  <si>
    <t>024_205_00_CH_Cd_Valles</t>
  </si>
  <si>
    <t>CH Cd Valles</t>
  </si>
  <si>
    <t>Frontera Esq. Con 30 de Mayo No. 1509 Col. Altavista</t>
  </si>
  <si>
    <t>Tamaulipas-CH Cd Victoria</t>
  </si>
  <si>
    <t>2754</t>
  </si>
  <si>
    <t>TSIST000153</t>
  </si>
  <si>
    <t>028-204-00</t>
  </si>
  <si>
    <t>028_204_00_CH_Cd_Victoria</t>
  </si>
  <si>
    <t>CH Cd Victoria</t>
  </si>
  <si>
    <t>Prol. Blvd. Adolfo Lopez Mateos y Frncisco y Madero SN Col. Modulo Habitacional Fovissste</t>
  </si>
  <si>
    <t>Guanajuato-CH Celaya</t>
  </si>
  <si>
    <t>2647</t>
  </si>
  <si>
    <t>GTIST000045</t>
  </si>
  <si>
    <t>011-207-00</t>
  </si>
  <si>
    <t>011_207_00_CH_Celaya</t>
  </si>
  <si>
    <t>CH Celaya</t>
  </si>
  <si>
    <t>Av. El Sauz Esq. Esmeralda SN Col. San Juanico</t>
  </si>
  <si>
    <t>Quintana Roo-CH Chetumal</t>
  </si>
  <si>
    <t>3273</t>
  </si>
  <si>
    <t>QRIST000043</t>
  </si>
  <si>
    <t>023-204-00</t>
  </si>
  <si>
    <t>023_204_00_CH_Chetumal</t>
  </si>
  <si>
    <t>CH Chetumal</t>
  </si>
  <si>
    <t>Av. Insurgentes SN Esq. Lombardo Toledano Col. Rafael E. Melgar</t>
  </si>
  <si>
    <t>Guerrero-CH Chilpancingo de los Bravo</t>
  </si>
  <si>
    <t>2659</t>
  </si>
  <si>
    <t>GRIST000112</t>
  </si>
  <si>
    <t>012-205-00</t>
  </si>
  <si>
    <t>012_205_00_CH_Chilpancingo_de_los_Bravo</t>
  </si>
  <si>
    <t>CH Chilpancingo de los Bravo</t>
  </si>
  <si>
    <t>Av. Figueroa SN Col. Burocrata</t>
  </si>
  <si>
    <t>Chilpancingo</t>
  </si>
  <si>
    <t>Veracruz-CH Coatzacoalcos</t>
  </si>
  <si>
    <t>2774</t>
  </si>
  <si>
    <t>VZIST000062</t>
  </si>
  <si>
    <t>030-210-00</t>
  </si>
  <si>
    <t>030_210_00_CH_Coatzacoalcos</t>
  </si>
  <si>
    <t>CH Coatzacoalcos</t>
  </si>
  <si>
    <t>Av. Miguel Angel de Quevedo Esq. Mariano Matamoros Col. Maria de la Piedad</t>
  </si>
  <si>
    <t>Coatzacoalcos</t>
  </si>
  <si>
    <t>Chiapas-CH Comitan de Dominguez</t>
  </si>
  <si>
    <t>2938</t>
  </si>
  <si>
    <t>CSIST000065</t>
  </si>
  <si>
    <t>007-207-00</t>
  </si>
  <si>
    <t>007_207_00_CH_Comitan_de_Dominguez</t>
  </si>
  <si>
    <t>CH Comitan de Dominguez</t>
  </si>
  <si>
    <t>Jimenez y Abasolo SN Col. Miguel Aleman</t>
  </si>
  <si>
    <t>Comitan de Dominguez</t>
  </si>
  <si>
    <t>Nuevo Leon-CH Constitucion</t>
  </si>
  <si>
    <t>2709</t>
  </si>
  <si>
    <t>NLIST000093</t>
  </si>
  <si>
    <t>019-204-00</t>
  </si>
  <si>
    <t>019_204_00_CH_Constitucion</t>
  </si>
  <si>
    <t>CH Constitucion</t>
  </si>
  <si>
    <t>Constitucion 1500 Col. Obispado</t>
  </si>
  <si>
    <t>Tamaulipas-CH Dr Baudelio Villanueva Reynosa</t>
  </si>
  <si>
    <t>2755</t>
  </si>
  <si>
    <t>TSIST000100</t>
  </si>
  <si>
    <t>028-206-00</t>
  </si>
  <si>
    <t>028_206_00_CH_Dr_Baudelio_Villanueva_Reynosa</t>
  </si>
  <si>
    <t>CH Dr Baudelio Villanueva Reynosa</t>
  </si>
  <si>
    <t>Av. Bravo y Lopez Mateos SN Col. Bellavista</t>
  </si>
  <si>
    <t>Reynosa</t>
  </si>
  <si>
    <t>Tamaulipas-CH Dr Manuel F Rodriguez Matamoros</t>
  </si>
  <si>
    <t>2756</t>
  </si>
  <si>
    <t>TSIST000071</t>
  </si>
  <si>
    <t>028-207-00</t>
  </si>
  <si>
    <t>028_207_00_CH_Dr_Manuel_F_Rodriguez_Matamoros</t>
  </si>
  <si>
    <t>CH Dr Manuel F Rodriguez Matamoros</t>
  </si>
  <si>
    <t>Canales y Jose SN Col. Lazaro Cardenas</t>
  </si>
  <si>
    <t>Matamoros</t>
  </si>
  <si>
    <t>Colima-CH Dr Miguel Trejo Ochoa</t>
  </si>
  <si>
    <t>2600</t>
  </si>
  <si>
    <t>CMIST000010</t>
  </si>
  <si>
    <t>006-204-00</t>
  </si>
  <si>
    <t>006_204_00_CH_Dr_Miguel_Trejo_Ochoa</t>
  </si>
  <si>
    <t>CH Dr Miguel Trejo Ochoa</t>
  </si>
  <si>
    <t>Ignacio Sandoval Esq. Antonio Cazo Col. Lomas de Circunvalacion</t>
  </si>
  <si>
    <t>Campeche-CH Dr Patricio Trueba Regil</t>
  </si>
  <si>
    <t>2571</t>
  </si>
  <si>
    <t>CCIST000021</t>
  </si>
  <si>
    <t>004-204-00</t>
  </si>
  <si>
    <t>004_204_00_CH_Dr_Patricio_Trueba_Regil</t>
  </si>
  <si>
    <t>CH Dr Patricio Trueba Regil</t>
  </si>
  <si>
    <t>7 entre Av. Resurgimiento y Juan de la Barrera No. 30 Col. Miramar</t>
  </si>
  <si>
    <t>Morelos-CH Dr Rafael Barba Ocampo Cuautla</t>
  </si>
  <si>
    <t>3169</t>
  </si>
  <si>
    <t>MSIST000025</t>
  </si>
  <si>
    <t>017-205-00</t>
  </si>
  <si>
    <t>017_205_00_CH_Dr_Rafael_Barba_Ocampo_Cuautla</t>
  </si>
  <si>
    <t>CH Dr Rafael Barba Ocampo Cuautla</t>
  </si>
  <si>
    <t>Intrepidos de Asturias y Loberas No. 7 Col. Centro</t>
  </si>
  <si>
    <t>Chiapas-CH Dr Roberto Nettel F Tapachula</t>
  </si>
  <si>
    <t>2937</t>
  </si>
  <si>
    <t>CSIST000210</t>
  </si>
  <si>
    <t>007-205-00</t>
  </si>
  <si>
    <t>007_205_00_CH_Dr_Roberto_Nettel_F_Tapachula</t>
  </si>
  <si>
    <t>CH Dr Roberto Nettel F Tapachula</t>
  </si>
  <si>
    <t>Av. Tuxtepec y Oaxaca SN Tapachula Chiapas Col. Francisco Villa</t>
  </si>
  <si>
    <t>Tapachula</t>
  </si>
  <si>
    <t>Baja California-CH Ensenada</t>
  </si>
  <si>
    <t>2570</t>
  </si>
  <si>
    <t>BCIST000011</t>
  </si>
  <si>
    <t>002-206-00</t>
  </si>
  <si>
    <t>002_206_00_CH_Ensenada</t>
  </si>
  <si>
    <t>CH Ensenada</t>
  </si>
  <si>
    <t>Av. Sangines y Dr. Pedro Loyola SN Col. Carlos Pacheco</t>
  </si>
  <si>
    <t>Ensenada</t>
  </si>
  <si>
    <t>Zacatecas-CH Fresnillo</t>
  </si>
  <si>
    <t>2782</t>
  </si>
  <si>
    <t>ZSIST000032</t>
  </si>
  <si>
    <t>032-205-00</t>
  </si>
  <si>
    <t>032_205_00_CH_Fresnillo</t>
  </si>
  <si>
    <t>CH Fresnillo</t>
  </si>
  <si>
    <t>Av. Zonora 501 Col. Tecnologia</t>
  </si>
  <si>
    <t>Fresnillo</t>
  </si>
  <si>
    <t>Durango-CH Gomez Palacio</t>
  </si>
  <si>
    <t>2617</t>
  </si>
  <si>
    <t>DGIST000054</t>
  </si>
  <si>
    <t>010-206-00</t>
  </si>
  <si>
    <t>010_206_00_CH_Gomez_Palacio</t>
  </si>
  <si>
    <t>CH Gomez Palacio</t>
  </si>
  <si>
    <t>Blvd. Miguel Aleman SN Esq. con Calz. Jose Santos Valdez, Col. Magisterial</t>
  </si>
  <si>
    <t>Guanajuato-CH Guanajuato Gto</t>
  </si>
  <si>
    <t>2649</t>
  </si>
  <si>
    <t>GTIST000074</t>
  </si>
  <si>
    <t>011-206-00</t>
  </si>
  <si>
    <t>011_206_00_CH_Guanajuato_Gto</t>
  </si>
  <si>
    <t>CH Guanajuato Gto</t>
  </si>
  <si>
    <t>Cerro del Hormiguero SN Col. Panoramica</t>
  </si>
  <si>
    <t>Sonora-CH Guaymas</t>
  </si>
  <si>
    <t>2752</t>
  </si>
  <si>
    <t>SRIST000104</t>
  </si>
  <si>
    <t>026-208-00</t>
  </si>
  <si>
    <t>026_208_00_CH_Guaymas</t>
  </si>
  <si>
    <t>CH Guaymas</t>
  </si>
  <si>
    <t>Encenada Grande y Aglabampo SN Col. Fovissste</t>
  </si>
  <si>
    <t>Guaymas</t>
  </si>
  <si>
    <t>Chihuahua-CH Hidalgo del Parral</t>
  </si>
  <si>
    <t>2980</t>
  </si>
  <si>
    <t>CHIST000095</t>
  </si>
  <si>
    <t>008-207-00</t>
  </si>
  <si>
    <t>008_207_00_CH_Hidalgo_del_Parral</t>
  </si>
  <si>
    <t>CH Hidalgo del Parral</t>
  </si>
  <si>
    <t>Rep. de Cuba y Fco. Miranda No. 8 Col. Centro</t>
  </si>
  <si>
    <t>Hidalgo del Parral</t>
  </si>
  <si>
    <t>Oaxaca-CH Huajuapan de Leon</t>
  </si>
  <si>
    <t>3204</t>
  </si>
  <si>
    <t>OCIST000042</t>
  </si>
  <si>
    <t>020-207-00</t>
  </si>
  <si>
    <t>020_207_00_CH_Huajuapan_de_Leon</t>
  </si>
  <si>
    <t>CH Huajuapan de Leon</t>
  </si>
  <si>
    <t>Violeta No. 19 Col. Jardines del Sur</t>
  </si>
  <si>
    <t>Huajuapan de Leon</t>
  </si>
  <si>
    <t>Puebla-CH Huauchinango</t>
  </si>
  <si>
    <t>3261</t>
  </si>
  <si>
    <t>PLIST000072</t>
  </si>
  <si>
    <t>021-207-00</t>
  </si>
  <si>
    <t>021_207_00_CH_Huauchinango</t>
  </si>
  <si>
    <t>CH Huauchinango</t>
  </si>
  <si>
    <t>Av. Los Tecnicos Col. Huauchinango Centro</t>
  </si>
  <si>
    <t>Huauchinango</t>
  </si>
  <si>
    <t>Hidalgo-CH Huejutla de Reyes</t>
  </si>
  <si>
    <t>3110</t>
  </si>
  <si>
    <t>HGIST000041</t>
  </si>
  <si>
    <t>013-207-00</t>
  </si>
  <si>
    <t>013_207_00_CH_Huejutla_de_Reyes</t>
  </si>
  <si>
    <t>CH Huejutla de Reyes</t>
  </si>
  <si>
    <t>Carr. Mexico Tampico Km 213.5 Col. La Lomita</t>
  </si>
  <si>
    <t>Huejutla de Reyes</t>
  </si>
  <si>
    <t>Guerrero-CH Iguala de la Independencia</t>
  </si>
  <si>
    <t>2656</t>
  </si>
  <si>
    <t>GRIST000153</t>
  </si>
  <si>
    <t>012-206-00</t>
  </si>
  <si>
    <t>012_206_00_CH_Iguala_de_la_Independencia</t>
  </si>
  <si>
    <t>CH Iguala de la Independencia</t>
  </si>
  <si>
    <t>Blvd. Heroico Colegio Militar No. 3 Col. Centro</t>
  </si>
  <si>
    <t>Iguala</t>
  </si>
  <si>
    <t>Guanajuato-CH Irapuato</t>
  </si>
  <si>
    <t>2648</t>
  </si>
  <si>
    <t>GTIST000086</t>
  </si>
  <si>
    <t>011-204-00</t>
  </si>
  <si>
    <t>011_204_00_CH_Irapuato</t>
  </si>
  <si>
    <t>CH Irapuato</t>
  </si>
  <si>
    <t>Paseo de la Rivera 275 Col. Las Trojes</t>
  </si>
  <si>
    <t>Irapuato</t>
  </si>
  <si>
    <t>Hidalgo-CH Ixmiquilpan</t>
  </si>
  <si>
    <t>3103</t>
  </si>
  <si>
    <t>HGIST000065</t>
  </si>
  <si>
    <t>013-205-00</t>
  </si>
  <si>
    <t>013_205_00_CH_Ixmiquilpan</t>
  </si>
  <si>
    <t>CH Ixmiquilpan</t>
  </si>
  <si>
    <t>Carr. Capula Km 4 Col. El Nith</t>
  </si>
  <si>
    <t>Ixmiquilpan</t>
  </si>
  <si>
    <t>Sinaloa-CH Los Mochis</t>
  </si>
  <si>
    <t>2747</t>
  </si>
  <si>
    <t>SLIST000015</t>
  </si>
  <si>
    <t>025-205-00</t>
  </si>
  <si>
    <t>025_205_00_CH_Los_Mochis</t>
  </si>
  <si>
    <t>CH Los Mochis</t>
  </si>
  <si>
    <t>Blvd. Rosales Esq. Con 10 de Mayo Col. Fovissste 2</t>
  </si>
  <si>
    <t>Los Mochis</t>
  </si>
  <si>
    <t>Colima-CH Manzanillo</t>
  </si>
  <si>
    <t>3008</t>
  </si>
  <si>
    <t>CMIST000022</t>
  </si>
  <si>
    <t>006-205-00</t>
  </si>
  <si>
    <t>006_205_00_CH_Manzanillo</t>
  </si>
  <si>
    <t>CH Manzanillo</t>
  </si>
  <si>
    <t>Av. Parotas Esq. Rosa Morada Col. Valle de Las Garzas</t>
  </si>
  <si>
    <t>Manzanillo</t>
  </si>
  <si>
    <t>San Luis Potosi-CH Matehuala</t>
  </si>
  <si>
    <t>3283</t>
  </si>
  <si>
    <t>SPIST000084</t>
  </si>
  <si>
    <t>024-207-00</t>
  </si>
  <si>
    <t>024_207_00_CH_Matehuala</t>
  </si>
  <si>
    <t>CH Matehuala</t>
  </si>
  <si>
    <t>Matamoros 48 Zona Centro Col. Centro</t>
  </si>
  <si>
    <t>Matehuala</t>
  </si>
  <si>
    <t>Sinaloa-CH Mazatlan</t>
  </si>
  <si>
    <t>2746</t>
  </si>
  <si>
    <t>SLIST000196</t>
  </si>
  <si>
    <t>025-204-00</t>
  </si>
  <si>
    <t>025_204_00_CH_Mazatlan</t>
  </si>
  <si>
    <t>CH Mazatlan</t>
  </si>
  <si>
    <t>Carr. Internacional y Av. Mazatlan SN Col. Fracc. Fovissste</t>
  </si>
  <si>
    <t>Mazatlan</t>
  </si>
  <si>
    <t>Coahuila-CH Monclova</t>
  </si>
  <si>
    <t>2989</t>
  </si>
  <si>
    <t>CLIST000065</t>
  </si>
  <si>
    <t>005-206-00</t>
  </si>
  <si>
    <t>005_206_00_CH_Monclova</t>
  </si>
  <si>
    <t>CH Monclova</t>
  </si>
  <si>
    <t>Robla y Olivo 801 Col. Fovissste</t>
  </si>
  <si>
    <t>Monclova</t>
  </si>
  <si>
    <t>Sonora-CH Navojoa</t>
  </si>
  <si>
    <t>2751</t>
  </si>
  <si>
    <t>SRIST000162</t>
  </si>
  <si>
    <t>026-206-00</t>
  </si>
  <si>
    <t>026_206_00_CH_Navojoa</t>
  </si>
  <si>
    <t>CH Navojoa</t>
  </si>
  <si>
    <t>Guillermo Chavez y Guillermo Prieto No. 502 Col. Hidalgo</t>
  </si>
  <si>
    <t>Navojoa</t>
  </si>
  <si>
    <t>Sonora-CH Nogales</t>
  </si>
  <si>
    <t>2015</t>
  </si>
  <si>
    <t>SRIST000174</t>
  </si>
  <si>
    <t>026-215-00</t>
  </si>
  <si>
    <t>026_215_00_CH_Nogales</t>
  </si>
  <si>
    <t>CH Nogales</t>
  </si>
  <si>
    <t>Blvd. del Ensueno No. 24 Col. Lomas de Fatima</t>
  </si>
  <si>
    <t>Nogales</t>
  </si>
  <si>
    <t>Campeche-CH Nueva Cd del Carmen</t>
  </si>
  <si>
    <t>4552</t>
  </si>
  <si>
    <t>004_205_00_CH_Nueva_Cd_del_Carmen</t>
  </si>
  <si>
    <t>CH Nueva Cd del Carmen</t>
  </si>
  <si>
    <t>Cd. del Carmen</t>
  </si>
  <si>
    <t>Coahuila-CH Nueva Rosita</t>
  </si>
  <si>
    <t>2999</t>
  </si>
  <si>
    <t>CLIST000193</t>
  </si>
  <si>
    <t>005-209-00</t>
  </si>
  <si>
    <t>005_209_00_CH_Nueva_Rosita</t>
  </si>
  <si>
    <t>CH Nueva Rosita</t>
  </si>
  <si>
    <t>Av. 20 Noviembre No. 2748 Col. Zaragoza</t>
  </si>
  <si>
    <t>Nueva Rosita</t>
  </si>
  <si>
    <t>Veracruz-CH Orizaba</t>
  </si>
  <si>
    <t>2773</t>
  </si>
  <si>
    <t>VZIST000173</t>
  </si>
  <si>
    <t>030-207-00</t>
  </si>
  <si>
    <t>030_207_00_CH_Orizaba</t>
  </si>
  <si>
    <t>CH Orizaba</t>
  </si>
  <si>
    <t>Av. de Las Gardemias SN Col. El Espinal</t>
  </si>
  <si>
    <t>Orizaba</t>
  </si>
  <si>
    <t>Chiapas-CH Palenque</t>
  </si>
  <si>
    <t>4639</t>
  </si>
  <si>
    <t>CSIST000514</t>
  </si>
  <si>
    <t>007-211-00</t>
  </si>
  <si>
    <t>007_211_00_CH_Palenque</t>
  </si>
  <si>
    <t>CH Palenque</t>
  </si>
  <si>
    <t>Calle 5 de Mayo Col Pakalna</t>
  </si>
  <si>
    <t>Palenque</t>
  </si>
  <si>
    <t>Michoacan-CH Patzcuaro</t>
  </si>
  <si>
    <t>3140</t>
  </si>
  <si>
    <t>MNIST000144</t>
  </si>
  <si>
    <t>016-210-00</t>
  </si>
  <si>
    <t>016_210_00_CH_Patzcuaro</t>
  </si>
  <si>
    <t>CH Patzcuaro</t>
  </si>
  <si>
    <t>Prol. Antonio Arriaga SN Col. Fracc. La Ilusion</t>
  </si>
  <si>
    <t>Patzcuaro</t>
  </si>
  <si>
    <t>Coahuila-CH Piedras Negras</t>
  </si>
  <si>
    <t>2987</t>
  </si>
  <si>
    <t>CLIST000094</t>
  </si>
  <si>
    <t>005-207-00</t>
  </si>
  <si>
    <t>005_207_00_CH_Piedras_Negras</t>
  </si>
  <si>
    <t>CH Piedras Negras</t>
  </si>
  <si>
    <t>Av. Lazaro Cardenas y Mazatlan SN Col. Issste</t>
  </si>
  <si>
    <t>Piedras Negras</t>
  </si>
  <si>
    <t>Oaxaca-CH Pinotepa Nacional</t>
  </si>
  <si>
    <t>3202</t>
  </si>
  <si>
    <t>OCIST000240</t>
  </si>
  <si>
    <t>020-210-00</t>
  </si>
  <si>
    <t>020_210_00_CH_Pinotepa_Nacional</t>
  </si>
  <si>
    <t>CH Pinotepa Nacional</t>
  </si>
  <si>
    <t>Carr. A Pinotepa Coyantes Km 1 SN Col. Barrio El Zapote</t>
  </si>
  <si>
    <t>Santiago Pinotepa Nacional</t>
  </si>
  <si>
    <t>Veracruz-CH Poza Rica de Hidalgo</t>
  </si>
  <si>
    <t>2016</t>
  </si>
  <si>
    <t>VZIST000226</t>
  </si>
  <si>
    <t>030-209-00</t>
  </si>
  <si>
    <t>030_209_00_CH_Poza_Rica_de_Hidalgo</t>
  </si>
  <si>
    <t>CH Poza Rica de Hidalgo</t>
  </si>
  <si>
    <t>Av. Flor de Liz No. 100 Esq. Gardenias y Crisantemos Col. Salvador Allende</t>
  </si>
  <si>
    <t>Poza Rica</t>
  </si>
  <si>
    <t>Jalisco-CH Puerto Vallarta</t>
  </si>
  <si>
    <t>2668</t>
  </si>
  <si>
    <t>JCIST000086</t>
  </si>
  <si>
    <t>014-210-00</t>
  </si>
  <si>
    <t>014_210_00_CH_Puerto_Vallarta</t>
  </si>
  <si>
    <t>CH Puerto Vallarta</t>
  </si>
  <si>
    <t>Fco. Villa SN Col. Fovissste</t>
  </si>
  <si>
    <t>Puerto Vallarta</t>
  </si>
  <si>
    <t>Michoacan-CH R Flores Magon Lazaro Cardenas</t>
  </si>
  <si>
    <t>3135</t>
  </si>
  <si>
    <t>MNIST000103</t>
  </si>
  <si>
    <t>016-212-00</t>
  </si>
  <si>
    <t>016_212_00_CH_R_Flores_Magon_Lazaro_Cardenas</t>
  </si>
  <si>
    <t>CH R Flores Magon Lazaro Cardenas</t>
  </si>
  <si>
    <t>Jose Maria Morelos y Pavon SN Col. 2A. Seccion de Fideicomiso</t>
  </si>
  <si>
    <t>Lazaro Cardenas</t>
  </si>
  <si>
    <t>Tamaulipas-CH Rio Bravo</t>
  </si>
  <si>
    <t>3366</t>
  </si>
  <si>
    <t>TSIST000170</t>
  </si>
  <si>
    <t>028-209-00</t>
  </si>
  <si>
    <t>028_209_00_CH_Rio_Bravo</t>
  </si>
  <si>
    <t>CH Rio Bravo</t>
  </si>
  <si>
    <t>Av. Las Americas 600 A Col. Fovissste</t>
  </si>
  <si>
    <t>Rio Bravo</t>
  </si>
  <si>
    <t>San Luis Potosi-CH Rioverde</t>
  </si>
  <si>
    <t>3285</t>
  </si>
  <si>
    <t>SPIST000096</t>
  </si>
  <si>
    <t>024-209-00</t>
  </si>
  <si>
    <t>024_209_00_CH_Rioverde</t>
  </si>
  <si>
    <t>CH Rioverde</t>
  </si>
  <si>
    <t>Ejercito Nacional No. 100 Fracc. Noyola Col. Ignacio Noyola</t>
  </si>
  <si>
    <t>Rio Verde</t>
  </si>
  <si>
    <t>Michoacan-CH Sahuayo</t>
  </si>
  <si>
    <t>3141</t>
  </si>
  <si>
    <t>MNIST000185</t>
  </si>
  <si>
    <t>016-211-00</t>
  </si>
  <si>
    <t>016_211_00_CH_Sahuayo</t>
  </si>
  <si>
    <t>CH Sahuayo</t>
  </si>
  <si>
    <t>Lazaro Cardenas No. 232 Esq. Salustio Amescua Col. Centro</t>
  </si>
  <si>
    <t>Sahuayo</t>
  </si>
  <si>
    <t>Chiapas-CH San Cristobal de las Casas</t>
  </si>
  <si>
    <t>2936</t>
  </si>
  <si>
    <t>CSIST000193</t>
  </si>
  <si>
    <t>007-206-00</t>
  </si>
  <si>
    <t>007_206_00_CH_San_Cristobal_de_las_Casas</t>
  </si>
  <si>
    <t>CH San Cristobal de las Casas</t>
  </si>
  <si>
    <t>Av. Jose Maria Morelos y Pavon SN Col. Altejar</t>
  </si>
  <si>
    <t>San Cristobal de las Casas</t>
  </si>
  <si>
    <t>Baja California Sur-CH San Jose del Cabo</t>
  </si>
  <si>
    <t>2005</t>
  </si>
  <si>
    <t>BSIST000101</t>
  </si>
  <si>
    <t>003-208-00</t>
  </si>
  <si>
    <t>003_208_00_CH_San_Jose_del_Cabo</t>
  </si>
  <si>
    <t>CH San Jose del Cabo</t>
  </si>
  <si>
    <t>Carmen Presichi y Retorno Tifon SN Col. El Rosarito</t>
  </si>
  <si>
    <t>Sonora-CH San Luis Rio Colorado</t>
  </si>
  <si>
    <t>3314</t>
  </si>
  <si>
    <t>SRIST000203</t>
  </si>
  <si>
    <t>026-211-00</t>
  </si>
  <si>
    <t>026_211_00_CH_San_Luis_Rio_Colorado</t>
  </si>
  <si>
    <t>CH San Luis Rio Colorado</t>
  </si>
  <si>
    <t>Av. Libertad Col. Sonora</t>
  </si>
  <si>
    <t>San Luis Rio Colorado</t>
  </si>
  <si>
    <t>Coahuila-CH San Pedro de las Colonias</t>
  </si>
  <si>
    <t>2988</t>
  </si>
  <si>
    <t>CLIST000111</t>
  </si>
  <si>
    <t>005-211-00</t>
  </si>
  <si>
    <t>005_211_00_CH_San_Pedro_de_las_Colonias</t>
  </si>
  <si>
    <t>CH San Pedro de las Colonias</t>
  </si>
  <si>
    <t>Nogal y Granada SN Col. Fracc La Quinta</t>
  </si>
  <si>
    <t>San Pedro de las Colonias</t>
  </si>
  <si>
    <t>Baja California Sur-CH Santa Rosalia</t>
  </si>
  <si>
    <t>2898</t>
  </si>
  <si>
    <t>BSIST000043</t>
  </si>
  <si>
    <t>003-206-00</t>
  </si>
  <si>
    <t>003_206_00_CH_Santa_Rosalia</t>
  </si>
  <si>
    <t>CH Santa Rosalia</t>
  </si>
  <si>
    <t>Adan Velarde Esq. Municipio Libre SN Col. Nopalera</t>
  </si>
  <si>
    <t>Nueva Santa Rosalia</t>
  </si>
  <si>
    <t>San Luis Potosi-CH Tamazunchale</t>
  </si>
  <si>
    <t>3284</t>
  </si>
  <si>
    <t>SPIST000142</t>
  </si>
  <si>
    <t>024-208-00</t>
  </si>
  <si>
    <t>024_208_00_CH_Tamazunchale</t>
  </si>
  <si>
    <t>CH Tamazunchale</t>
  </si>
  <si>
    <t>Carr. San Martin Col. Zacatipan</t>
  </si>
  <si>
    <t>Tamazunchale</t>
  </si>
  <si>
    <t>Puebla-CH Tehuacan</t>
  </si>
  <si>
    <t>2717</t>
  </si>
  <si>
    <t>PLIST000154</t>
  </si>
  <si>
    <t>021-208-00</t>
  </si>
  <si>
    <t>021_208_00_CH_Tehuacan</t>
  </si>
  <si>
    <t>CH Tehuacan</t>
  </si>
  <si>
    <t>Manuel Pereyra Mejia Esq. 12 Poniento SN Col. Cerritos</t>
  </si>
  <si>
    <t>Tehuacan</t>
  </si>
  <si>
    <t>Oaxaca-CH Tehuantepec</t>
  </si>
  <si>
    <t>3216</t>
  </si>
  <si>
    <t>OCIST000252</t>
  </si>
  <si>
    <t>020-205-00</t>
  </si>
  <si>
    <t>020_205_00_CH_Tehuantepec</t>
  </si>
  <si>
    <t>CH Tehuantepec</t>
  </si>
  <si>
    <t>Carr. Transistmica Km. 7 Col. Barrio Santa Cruz Tagolaba</t>
  </si>
  <si>
    <t>Sto. Domingo Tehuantepec</t>
  </si>
  <si>
    <t>Puebla-CH Teziutlan</t>
  </si>
  <si>
    <t>3262</t>
  </si>
  <si>
    <t>PLIST000171</t>
  </si>
  <si>
    <t>021-210-00</t>
  </si>
  <si>
    <t>021_210_00_CH_Teziutlan</t>
  </si>
  <si>
    <t>CH Teziutlan</t>
  </si>
  <si>
    <t>Longino Mendez No. 103 Col. Barrio de Xoloco</t>
  </si>
  <si>
    <t>Teziutlan</t>
  </si>
  <si>
    <t>Veracruz-CH Tuxpan</t>
  </si>
  <si>
    <t>3401</t>
  </si>
  <si>
    <t>VZIST000296</t>
  </si>
  <si>
    <t>030-208-00</t>
  </si>
  <si>
    <t>030_208_00_CH_Tuxpan</t>
  </si>
  <si>
    <t>CH Tuxpan</t>
  </si>
  <si>
    <t>5 Mayo No. 47 Col. Zapote Gordo</t>
  </si>
  <si>
    <t>Tuxpan</t>
  </si>
  <si>
    <t>Oaxaca-CH Tuxtepec</t>
  </si>
  <si>
    <t>3217</t>
  </si>
  <si>
    <t>OCIST000165</t>
  </si>
  <si>
    <t>020-206-00</t>
  </si>
  <si>
    <t>020_206_00_CH_Tuxtepec</t>
  </si>
  <si>
    <t>CH Tuxtepec</t>
  </si>
  <si>
    <t>Merida No. 105 Col. Fracc Jardines del Arroyo</t>
  </si>
  <si>
    <t>Tuxtepec</t>
  </si>
  <si>
    <t>Michoacan-CH Uruapan del Progreso</t>
  </si>
  <si>
    <t>3136</t>
  </si>
  <si>
    <t>MNIST000202</t>
  </si>
  <si>
    <t>016-205-00</t>
  </si>
  <si>
    <t>016_205_00_CH_Uruapan_del_Progreso</t>
  </si>
  <si>
    <t>CH Uruapan del Progreso</t>
  </si>
  <si>
    <t>Estocolmo 688 Col. Fovissste</t>
  </si>
  <si>
    <t>Uruapan</t>
  </si>
  <si>
    <t>Veracruz-CH Xalapa</t>
  </si>
  <si>
    <t>2772</t>
  </si>
  <si>
    <t>VZIST000120</t>
  </si>
  <si>
    <t>030-204-00</t>
  </si>
  <si>
    <t>030_204_00_CH_Xalapa</t>
  </si>
  <si>
    <t>CH Xalapa</t>
  </si>
  <si>
    <t>Fraternidad Esq. Jose Hernandez Col. Obrero Campesina</t>
  </si>
  <si>
    <t>Michoacan-CH Zacapu</t>
  </si>
  <si>
    <t>3142</t>
  </si>
  <si>
    <t>MNIST000214</t>
  </si>
  <si>
    <t>016-213-00</t>
  </si>
  <si>
    <t>016_213_00_CH_Zacapu</t>
  </si>
  <si>
    <t>CH Zacapu</t>
  </si>
  <si>
    <t>Av. Universidad No. 784 Col. Miguel Aleman</t>
  </si>
  <si>
    <t>Zacapu</t>
  </si>
  <si>
    <t>Michoacan-CH Zamora</t>
  </si>
  <si>
    <t>3139</t>
  </si>
  <si>
    <t>MNIST000226</t>
  </si>
  <si>
    <t>016-209-00</t>
  </si>
  <si>
    <t>016_209_00_CH_Zamora</t>
  </si>
  <si>
    <t>CH Zamora</t>
  </si>
  <si>
    <t>Av. Educacion No. 662 Col. Fovissste</t>
  </si>
  <si>
    <t>Zamora</t>
  </si>
  <si>
    <t>Michoacan-CH Zitacuaro</t>
  </si>
  <si>
    <t>3138</t>
  </si>
  <si>
    <t>MNIST000231</t>
  </si>
  <si>
    <t>016-208-00</t>
  </si>
  <si>
    <t>016_208_00_CH_Zitacuaro</t>
  </si>
  <si>
    <t>CH Zitacuaro</t>
  </si>
  <si>
    <t>Gral. Pueblita No. 18 Col. Fovissste Poetas</t>
  </si>
  <si>
    <t>Zitacuaro</t>
  </si>
  <si>
    <t>Nayarit-CMF Acaponeta</t>
  </si>
  <si>
    <t>2708</t>
  </si>
  <si>
    <t>NTIST000016</t>
  </si>
  <si>
    <t>018-205-00</t>
  </si>
  <si>
    <t>018_205_00_CMF_Acaponeta</t>
  </si>
  <si>
    <t>CMF</t>
  </si>
  <si>
    <t>CMF Acaponeta</t>
  </si>
  <si>
    <t>Matamoros y Durango SN Col. Centro</t>
  </si>
  <si>
    <t>Acaponeta</t>
  </si>
  <si>
    <t>Guerrero-CMF Acapulco</t>
  </si>
  <si>
    <t>2654</t>
  </si>
  <si>
    <t>GRIST000013</t>
  </si>
  <si>
    <t>012-208-00</t>
  </si>
  <si>
    <t>012_208_00_CMF_Acapulco</t>
  </si>
  <si>
    <t>CMF Acapulco</t>
  </si>
  <si>
    <t>Av. Solidaridad SN Col. Alta Progreso</t>
  </si>
  <si>
    <t>Puebla-CMF Acatlan de Osorio</t>
  </si>
  <si>
    <t>3248</t>
  </si>
  <si>
    <t>PLIST000014</t>
  </si>
  <si>
    <t>021-205-00</t>
  </si>
  <si>
    <t>021_205_00_CMF_Acatlan_de_Osorio</t>
  </si>
  <si>
    <t>CMF Acatlan de Osorio</t>
  </si>
  <si>
    <t>Carr. Internacional Mexico Oaxaca SN Col. La Palma</t>
  </si>
  <si>
    <t>Acatlan de Osorio</t>
  </si>
  <si>
    <t>Veracruz-CMF Acayucan</t>
  </si>
  <si>
    <t>2556</t>
  </si>
  <si>
    <t>VZIST000016</t>
  </si>
  <si>
    <t>030-220-00</t>
  </si>
  <si>
    <t>030_220_00_CMF_Acayucan</t>
  </si>
  <si>
    <t>CMF Acayucan</t>
  </si>
  <si>
    <t>Prolong. Juan de la Luz Enriquez Esq. Chosica Peru Col. Lindavista</t>
  </si>
  <si>
    <t>Acayucan</t>
  </si>
  <si>
    <t>Aguascalientes-CMF Aguascalientes</t>
  </si>
  <si>
    <t>2060</t>
  </si>
  <si>
    <t>ASIST000021</t>
  </si>
  <si>
    <t>001-205-00</t>
  </si>
  <si>
    <t>001_205_00_CMF_Aguascalientes</t>
  </si>
  <si>
    <t>CMF Aguascalientes</t>
  </si>
  <si>
    <t>San Cosme No. 410 Esq. Universidad Col. Fracc. San Cayetano</t>
  </si>
  <si>
    <t>CDMX-CMF Aragon</t>
  </si>
  <si>
    <t>2367</t>
  </si>
  <si>
    <t>DFIST000085</t>
  </si>
  <si>
    <t>091-206-00</t>
  </si>
  <si>
    <t>091_206_00_CMF_Aragon</t>
  </si>
  <si>
    <t>CMF Aragon</t>
  </si>
  <si>
    <t>Moctezuma No. 168 Col. Aragon</t>
  </si>
  <si>
    <t>07000</t>
  </si>
  <si>
    <t>Puebla-CMF Atlixco</t>
  </si>
  <si>
    <t>2716</t>
  </si>
  <si>
    <t>PLIST000026</t>
  </si>
  <si>
    <t>021-206-00</t>
  </si>
  <si>
    <t>021_206_00_CMF_Atlixco</t>
  </si>
  <si>
    <t>CMF Atlixco</t>
  </si>
  <si>
    <t>Plaza San Francisco N 11 Unidad Fovissste San Agustin Col. San Agustin</t>
  </si>
  <si>
    <t>Atlixco</t>
  </si>
  <si>
    <t>Jalisco-CMF Autlan de Navarro</t>
  </si>
  <si>
    <t>3131</t>
  </si>
  <si>
    <t>JCIST000021</t>
  </si>
  <si>
    <t>014-209-00</t>
  </si>
  <si>
    <t>014_209_00_CMF_Autlan_de_Navarro</t>
  </si>
  <si>
    <t>CMF Autlan de Navarro</t>
  </si>
  <si>
    <t>Domingo Perez No. 117 Col. Las Ceibas</t>
  </si>
  <si>
    <t>Autlan de Navarro</t>
  </si>
  <si>
    <t>CDMX-CMF Azcapotzalco</t>
  </si>
  <si>
    <t>2401</t>
  </si>
  <si>
    <t>DFIST000020</t>
  </si>
  <si>
    <t>094-207-00</t>
  </si>
  <si>
    <t>094_207_00_CMF_Azcapotzalco</t>
  </si>
  <si>
    <t>CMF Azcapotzalco</t>
  </si>
  <si>
    <t>San Mateo No. 31 Col. Azcapotzalco</t>
  </si>
  <si>
    <t>Azcapotzalco</t>
  </si>
  <si>
    <t>02000</t>
  </si>
  <si>
    <t>CDMX-CMF Balbuena</t>
  </si>
  <si>
    <t>2606</t>
  </si>
  <si>
    <t>DFIST000546</t>
  </si>
  <si>
    <t>092-204-00</t>
  </si>
  <si>
    <t>092_204_00_CMF_Balbuena</t>
  </si>
  <si>
    <t>CMF Balbuena</t>
  </si>
  <si>
    <t>Av. del Taller No. 611 Col. Jardin Balbuena</t>
  </si>
  <si>
    <t>Venustiano Carranza</t>
  </si>
  <si>
    <t>Tabasco-CMF Cardenas</t>
  </si>
  <si>
    <t>3335</t>
  </si>
  <si>
    <t>TCIST000034</t>
  </si>
  <si>
    <t>027-205-00</t>
  </si>
  <si>
    <t>027_205_00_CMF_Cardenas</t>
  </si>
  <si>
    <t>CMF Cardenas</t>
  </si>
  <si>
    <t>Av. Las Palmas SN Col. Fovissste</t>
  </si>
  <si>
    <t>Cardenas</t>
  </si>
  <si>
    <t>Tabasco-CMF Casablanca Villahermosa</t>
  </si>
  <si>
    <t>2489</t>
  </si>
  <si>
    <t>TCIST000186</t>
  </si>
  <si>
    <t>027-206-00</t>
  </si>
  <si>
    <t>027_206_00_CMF_Casablanca_Villahermosa</t>
  </si>
  <si>
    <t>CMF Casablanca Villahermosa</t>
  </si>
  <si>
    <t>Rio Usumacinta No. 104 Col. Casablanca</t>
  </si>
  <si>
    <t>Coahuila-CMF Cd Acuna</t>
  </si>
  <si>
    <t>3000</t>
  </si>
  <si>
    <t>CLIST000012</t>
  </si>
  <si>
    <t>005-208-00</t>
  </si>
  <si>
    <t>005_208_00_CMF_Cd_Acuna</t>
  </si>
  <si>
    <t>CMF Cd Acuna</t>
  </si>
  <si>
    <t>Blvd. Guerrero Esq. Con Diaz Guerra SN Col. Centro</t>
  </si>
  <si>
    <t>Cd Acuna</t>
  </si>
  <si>
    <t>Chihuahua-CMF Cd Delicias</t>
  </si>
  <si>
    <t>2572</t>
  </si>
  <si>
    <t>CHIST000054</t>
  </si>
  <si>
    <t>008-213-00</t>
  </si>
  <si>
    <t>008_213_00_CMF_Cd_Delicias</t>
  </si>
  <si>
    <t>CMF Cd Delicias</t>
  </si>
  <si>
    <t>12 y Av. 10 Sur No. 902 Col. Fracc. Los Angeles</t>
  </si>
  <si>
    <t>Chihuahua-CMF Cd Juarez</t>
  </si>
  <si>
    <t>2338</t>
  </si>
  <si>
    <t>CHIST000363</t>
  </si>
  <si>
    <t>008-211-00</t>
  </si>
  <si>
    <t>008_211_00_CMF_Cd_Juarez</t>
  </si>
  <si>
    <t>CMF Cd Juarez</t>
  </si>
  <si>
    <t>Yepomera No. 10160 Col. Fracc. Torres Univ.</t>
  </si>
  <si>
    <t>Cd Juarez</t>
  </si>
  <si>
    <t>Durango-CMF Cd Lerdo</t>
  </si>
  <si>
    <t>2433</t>
  </si>
  <si>
    <t>DGIST000346</t>
  </si>
  <si>
    <t>010-205-00</t>
  </si>
  <si>
    <t>010_205_00_CMF_Cd_Lerdo</t>
  </si>
  <si>
    <t>CMF Cd Lerdo</t>
  </si>
  <si>
    <t>Calz. Jose Santos Valdez No. 270 Pte. Col. Magisterial</t>
  </si>
  <si>
    <t>Cd Lerdo</t>
  </si>
  <si>
    <t>Tamaulipas-CMF Cd Victoria</t>
  </si>
  <si>
    <t>2069</t>
  </si>
  <si>
    <t>TSIST000345</t>
  </si>
  <si>
    <t>028-214-00</t>
  </si>
  <si>
    <t>028_214_00_CMF_Cd_Victoria</t>
  </si>
  <si>
    <t>CMF Cd Victoria</t>
  </si>
  <si>
    <t>19 Oaxaca SN Col. Fovissste</t>
  </si>
  <si>
    <t>Chihuahua-CMF Chihuahua</t>
  </si>
  <si>
    <t>2020</t>
  </si>
  <si>
    <t>CHIST000293</t>
  </si>
  <si>
    <t>008-217-00</t>
  </si>
  <si>
    <t>008_217_00_CMF_Chihuahua</t>
  </si>
  <si>
    <t>CMF Chihuahua</t>
  </si>
  <si>
    <t>Ahuehuete No. 505 Col. Angel Trias</t>
  </si>
  <si>
    <t>CDMX-CMF Cinco de Febrero</t>
  </si>
  <si>
    <t>2372</t>
  </si>
  <si>
    <t>DFIST000382</t>
  </si>
  <si>
    <t>091-211-00</t>
  </si>
  <si>
    <t>091_211_00_CMF_Cinco_de_Febrero</t>
  </si>
  <si>
    <t>CMF Cinco de Febrero</t>
  </si>
  <si>
    <t>5 de Febrero No. 109 Col. Centro</t>
  </si>
  <si>
    <t>06080</t>
  </si>
  <si>
    <t>Veracruz-CMF Cordoba</t>
  </si>
  <si>
    <t>2877</t>
  </si>
  <si>
    <t>VZIST000424</t>
  </si>
  <si>
    <t>030-206-00</t>
  </si>
  <si>
    <t>030_206_00_CMF_Cordoba</t>
  </si>
  <si>
    <t>CMF Cordoba</t>
  </si>
  <si>
    <t>Av. 43 No. 310 entre Calles 3 y 5 Col. Rancho San Juan Nepomuceno</t>
  </si>
  <si>
    <t>Cordoba</t>
  </si>
  <si>
    <t>CDMX-CMF Coyoacan</t>
  </si>
  <si>
    <t>2415</t>
  </si>
  <si>
    <t>DFIST000061</t>
  </si>
  <si>
    <t>093-212-00</t>
  </si>
  <si>
    <t>093_212_00_CMF_Coyoacan</t>
  </si>
  <si>
    <t>CMF Coyoacan</t>
  </si>
  <si>
    <t>Fernandez Leal No 11 Col. Barrio La Consepcion</t>
  </si>
  <si>
    <t>04100</t>
  </si>
  <si>
    <t>Estado de Mexico-CMF Cuautitlan Izcalli</t>
  </si>
  <si>
    <t>2178</t>
  </si>
  <si>
    <t>MCIST000442</t>
  </si>
  <si>
    <t>015-216-00</t>
  </si>
  <si>
    <t>015_216_00_CMF_Cuautitlan_Izcalli</t>
  </si>
  <si>
    <t>CMF Cuautitlan Izcalli</t>
  </si>
  <si>
    <t>Norte 1 Esq. Av. Central Col. Santiago Tepalcapa</t>
  </si>
  <si>
    <t>Cuatitlan Izcalli</t>
  </si>
  <si>
    <t>CDMX-CMF Cuitlahuac</t>
  </si>
  <si>
    <t>2406</t>
  </si>
  <si>
    <t>DFIST000015</t>
  </si>
  <si>
    <t>094-204-00</t>
  </si>
  <si>
    <t>094_204_00_CMF_Cuitlahuac</t>
  </si>
  <si>
    <t>CMF Cuitlahuac</t>
  </si>
  <si>
    <t>Av. Cuitlahuac No. 548 Col. Pantaco</t>
  </si>
  <si>
    <t>02500</t>
  </si>
  <si>
    <t>Sinaloa-CMF Culiacan</t>
  </si>
  <si>
    <t>2479</t>
  </si>
  <si>
    <t>SLIST000073</t>
  </si>
  <si>
    <t>025-206-00</t>
  </si>
  <si>
    <t>025_206_00_CMF_Culiacan</t>
  </si>
  <si>
    <t>CMF Culiacan</t>
  </si>
  <si>
    <t>Alianza SN Col. 5 de Mayo</t>
  </si>
  <si>
    <t>CDMX-CMF del Valle</t>
  </si>
  <si>
    <t>2135</t>
  </si>
  <si>
    <t>DFIST000283</t>
  </si>
  <si>
    <t>093-206-00</t>
  </si>
  <si>
    <t>093_206_00_CMF_del_Valle</t>
  </si>
  <si>
    <t>CMF del Valle</t>
  </si>
  <si>
    <t>Patricio Sanz No. 51 Col. del Valle</t>
  </si>
  <si>
    <t>CDMX-CMF Division del Norte</t>
  </si>
  <si>
    <t>2136</t>
  </si>
  <si>
    <t>DFIST000056</t>
  </si>
  <si>
    <t>093-210-00</t>
  </si>
  <si>
    <t>093_210_00_CMF_Division_del_Norte</t>
  </si>
  <si>
    <t>CMF Division del Norte</t>
  </si>
  <si>
    <t>Division del Norte No. 3755 Col. San Pablo Tepetlapa</t>
  </si>
  <si>
    <t>04620</t>
  </si>
  <si>
    <t>Jalisco-CMF Dr Arturo Glez Guadalajara 1</t>
  </si>
  <si>
    <t>2197</t>
  </si>
  <si>
    <t>JCIST000074</t>
  </si>
  <si>
    <t>014-204-00</t>
  </si>
  <si>
    <t>014_204_00_CMF_Dr_Arturo_Glez_Guadalajara_1</t>
  </si>
  <si>
    <t>CMF Dr Arturo Glez Guadalajara 1</t>
  </si>
  <si>
    <t>Montealban No. 978. Sector Hidalgo Col. Independencia</t>
  </si>
  <si>
    <t>CDMX-CMF Dr Ignacio Chavez</t>
  </si>
  <si>
    <t>2417</t>
  </si>
  <si>
    <t>DFIST000044</t>
  </si>
  <si>
    <t>093-208-00</t>
  </si>
  <si>
    <t>093_208_00_CMF_Dr_Ignacio_Chavez</t>
  </si>
  <si>
    <t>CMF Dr Ignacio Chavez</t>
  </si>
  <si>
    <t>Oriental No. 10 Col. Alianza Popular Revolucionaria</t>
  </si>
  <si>
    <t>04800</t>
  </si>
  <si>
    <t>CDMX-CMF Dr Javier Dominguez Estrada Chapultepec</t>
  </si>
  <si>
    <t>2106</t>
  </si>
  <si>
    <t>DFIST000411</t>
  </si>
  <si>
    <t>091-214-00</t>
  </si>
  <si>
    <t>091_214_00_CMF_Dr_Javier_Dominguez_Estrada_Chapultepec</t>
  </si>
  <si>
    <t>CMF Dr Javier Dominguez Estrada Chapultepec</t>
  </si>
  <si>
    <t>Jose Vasconcelos 10 Col. Condesa</t>
  </si>
  <si>
    <t>06140</t>
  </si>
  <si>
    <t>Nayarit-CMF Dr Joaquin Canovas Puchades Tepic</t>
  </si>
  <si>
    <t>2223</t>
  </si>
  <si>
    <t>NTIST000243</t>
  </si>
  <si>
    <t>018-206-00</t>
  </si>
  <si>
    <t>018_206_00_CMF_Dr_Joaquin_Canovas_Puchades_Tepic</t>
  </si>
  <si>
    <t>CMF Dr Joaquin Canovas Puchades Tepic</t>
  </si>
  <si>
    <t>Andador Santa Cruz SN Col. Fovissste</t>
  </si>
  <si>
    <t>Durango-CMF Durango</t>
  </si>
  <si>
    <t>2435</t>
  </si>
  <si>
    <t>DGIST000030</t>
  </si>
  <si>
    <t>010-207-00</t>
  </si>
  <si>
    <t>010_207_00_CMF_Durango</t>
  </si>
  <si>
    <t>CMF Durango</t>
  </si>
  <si>
    <t>C. Antiguo Predio Canoas S/N Zona Centro</t>
  </si>
  <si>
    <t>Estado de Mexico-CMF Ecatepec de Morelos</t>
  </si>
  <si>
    <t>2446</t>
  </si>
  <si>
    <t>MCIST000075</t>
  </si>
  <si>
    <t>015-205-00</t>
  </si>
  <si>
    <t>015_205_00_CMF_Ecatepec_de_Morelos</t>
  </si>
  <si>
    <t>CMF Ecatepec de Morelos</t>
  </si>
  <si>
    <t>Isabel La Catolica SN Esq. Con Agricultura Col. San Cristobal.</t>
  </si>
  <si>
    <t>CDMX-CMF Ermita</t>
  </si>
  <si>
    <t>2414</t>
  </si>
  <si>
    <t>DFIST000295</t>
  </si>
  <si>
    <t>093-211-00</t>
  </si>
  <si>
    <t>093_211_00_CMF_Ermita</t>
  </si>
  <si>
    <t>CMF Ermita</t>
  </si>
  <si>
    <t>Calz. Ermita Iztapalapa No. 67 Col. Prado Ermita</t>
  </si>
  <si>
    <t>03590</t>
  </si>
  <si>
    <t>CDMX-CMF Ermita Zaragoza</t>
  </si>
  <si>
    <t>2393</t>
  </si>
  <si>
    <t>DFIST000143</t>
  </si>
  <si>
    <t>092-212-00</t>
  </si>
  <si>
    <t>092_212_00_CMF_Ermita_Zaragoza</t>
  </si>
  <si>
    <t>CMF Ermita Zaragoza</t>
  </si>
  <si>
    <t>Congreso Chilpancingo Norte SN Col. Unidad Habitacional Ermita Zaragoza</t>
  </si>
  <si>
    <t>09830</t>
  </si>
  <si>
    <t>Nuevo Leon-CMF Escobedo</t>
  </si>
  <si>
    <t>2012</t>
  </si>
  <si>
    <t>NLIST000385</t>
  </si>
  <si>
    <t>019-208-00</t>
  </si>
  <si>
    <t>019_208_00_CMF_Escobedo</t>
  </si>
  <si>
    <t>CMF Escobedo</t>
  </si>
  <si>
    <t>Abasolo No. 524 Col. Paseo Real</t>
  </si>
  <si>
    <t>Gral. Escobedo</t>
  </si>
  <si>
    <t>CDMX-CMF Fuentes Brotantes</t>
  </si>
  <si>
    <t>2416</t>
  </si>
  <si>
    <t>DFIST000242</t>
  </si>
  <si>
    <t>093-217-00</t>
  </si>
  <si>
    <t>093_217_00_CMF_Fuentes_Brotantes</t>
  </si>
  <si>
    <t>CMF Fuentes Brotantes</t>
  </si>
  <si>
    <t>Av. Hidalgo SN Col. U.H. Fuentes Brotantes</t>
  </si>
  <si>
    <t>Jalisco-CMF Guadalajara 2</t>
  </si>
  <si>
    <t>2199</t>
  </si>
  <si>
    <t>JCIST000366</t>
  </si>
  <si>
    <t>014-205-00</t>
  </si>
  <si>
    <t>014_205_00_CMF_Guadalajara_2</t>
  </si>
  <si>
    <t>CMF Guadalajara 2</t>
  </si>
  <si>
    <t>Eulogio Parra No. 1700 Esq. Pedro Buzeta Col. Ladron de Guevara</t>
  </si>
  <si>
    <t>Santa Teresita</t>
  </si>
  <si>
    <t>Jalisco-CMF Guadalajara 3</t>
  </si>
  <si>
    <t>2200</t>
  </si>
  <si>
    <t>JCIST000395</t>
  </si>
  <si>
    <t>014-206-00</t>
  </si>
  <si>
    <t>014_206_00_CMF_Guadalajara_3</t>
  </si>
  <si>
    <t>CMF Guadalajara 3</t>
  </si>
  <si>
    <t>Juan Suarez de Peralta No. 3055 Col. Jardines de la Paz</t>
  </si>
  <si>
    <t>CDMX-CMF Guadalupe</t>
  </si>
  <si>
    <t>2364</t>
  </si>
  <si>
    <t>DFIST000370</t>
  </si>
  <si>
    <t>091-207-00</t>
  </si>
  <si>
    <t>091_207_00_CMF_Guadalupe</t>
  </si>
  <si>
    <t>CMF Guadalupe</t>
  </si>
  <si>
    <t>Calz. de Guadalupe No. 164 Col. Exhipodromo de Peralvillo</t>
  </si>
  <si>
    <t>06250</t>
  </si>
  <si>
    <t>Zacatecas-CMF Guadalupe</t>
  </si>
  <si>
    <t>2787</t>
  </si>
  <si>
    <t>ZSIST000044</t>
  </si>
  <si>
    <t>032-206-00</t>
  </si>
  <si>
    <t>032_206_00_CMF_Guadalupe</t>
  </si>
  <si>
    <t>Real de Valparaiso SN Col. Camino Real</t>
  </si>
  <si>
    <t>Nuevo Leon-CMF Guadalupe Col de Maestros</t>
  </si>
  <si>
    <t>2231</t>
  </si>
  <si>
    <t>NLIST000373</t>
  </si>
  <si>
    <t>019-206-00</t>
  </si>
  <si>
    <t>019_206_00_CMF_Guadalupe_Col_de_Maestros</t>
  </si>
  <si>
    <t>CMF Guadalupe Col de Maestros</t>
  </si>
  <si>
    <t>Av. Benito Juarez No. 432 Col. Hacienda San Sebastian Guadalupe</t>
  </si>
  <si>
    <t>CDMX-CMF Guerrero</t>
  </si>
  <si>
    <t>2374</t>
  </si>
  <si>
    <t>DFIST000435</t>
  </si>
  <si>
    <t>091-217-00</t>
  </si>
  <si>
    <t>091_217_00_CMF_Guerrero</t>
  </si>
  <si>
    <t>CMF Guerrero</t>
  </si>
  <si>
    <t>Eje 1 Guerrero No. 65. entre Violeta y Mina. Piso 1. Col. Guerrero</t>
  </si>
  <si>
    <t>CDMX-CMF Gustavo A Madero</t>
  </si>
  <si>
    <t>2365</t>
  </si>
  <si>
    <t>DFIST000073</t>
  </si>
  <si>
    <t>091-205-00</t>
  </si>
  <si>
    <t>091_205_00_CMF_Gustavo_A_Madero</t>
  </si>
  <si>
    <t>CMF Gustavo A Madero</t>
  </si>
  <si>
    <t>Calz. de Guadalupe No. 712 Col. Tepeyac Insurgentes</t>
  </si>
  <si>
    <t>07020</t>
  </si>
  <si>
    <t>Sonora-CMF Hermosillo</t>
  </si>
  <si>
    <t>2481</t>
  </si>
  <si>
    <t>SRIST000121</t>
  </si>
  <si>
    <t>026-212-00</t>
  </si>
  <si>
    <t>026_212_00_CMF_Hermosillo</t>
  </si>
  <si>
    <t>CMF Hermosillo</t>
  </si>
  <si>
    <t>Blvd. Morelos SN Col. Bugambilias</t>
  </si>
  <si>
    <t>Veracruz-CMF Heroica de Veracruz (Coyol)</t>
  </si>
  <si>
    <t>2512</t>
  </si>
  <si>
    <t>VZIST000820</t>
  </si>
  <si>
    <t>030-223-00</t>
  </si>
  <si>
    <t>030_223_00_CMF_Heroica_de_Veracruz_(Coyol)</t>
  </si>
  <si>
    <t>CMF Heroica de Veracruz (Coyol)</t>
  </si>
  <si>
    <t>Laguna de Rosarios SN PB Col. Fracc. El Coyol</t>
  </si>
  <si>
    <t>CDMX-CMF Iztapalapa I</t>
  </si>
  <si>
    <t>2388</t>
  </si>
  <si>
    <t>DFIST000126</t>
  </si>
  <si>
    <t>092-209-00</t>
  </si>
  <si>
    <t>092_209_00_CMF_Iztapalapa_I</t>
  </si>
  <si>
    <t>CMF Iztapalapa I</t>
  </si>
  <si>
    <t>Calz. Ermita Iztapalapa No. 786 Col. Granjas San Antonio</t>
  </si>
  <si>
    <t>09870</t>
  </si>
  <si>
    <t>CDMX-CMF Iztapalapa II</t>
  </si>
  <si>
    <t>2390</t>
  </si>
  <si>
    <t>DFIST000131</t>
  </si>
  <si>
    <t>092-211-00</t>
  </si>
  <si>
    <t>092_211_00_CMF_Iztapalapa_II</t>
  </si>
  <si>
    <t>CMF Iztapalapa II</t>
  </si>
  <si>
    <t>Calz. San Lorenzo 278 Esq. Bilbao y Cataroja Col. Cerro de la Estrella</t>
  </si>
  <si>
    <t>09860</t>
  </si>
  <si>
    <t>CDMX-CMF Juarez</t>
  </si>
  <si>
    <t>2351</t>
  </si>
  <si>
    <t>DFIST000394</t>
  </si>
  <si>
    <t>091-212-00</t>
  </si>
  <si>
    <t>091_212_00_CMF_Juarez</t>
  </si>
  <si>
    <t>CMF Juarez</t>
  </si>
  <si>
    <t>Jalapa 252 Col. Roma</t>
  </si>
  <si>
    <t>06760</t>
  </si>
  <si>
    <t>Baja California Sur-CMF La Paz</t>
  </si>
  <si>
    <t>3425</t>
  </si>
  <si>
    <t>BSIST000321</t>
  </si>
  <si>
    <t>003-209-00</t>
  </si>
  <si>
    <t>003_209_00_CMF_La_Paz</t>
  </si>
  <si>
    <t>CMF La Paz</t>
  </si>
  <si>
    <t>Nicolas Bravo SN Esq. Av. Mexico Fracc. La Perla</t>
  </si>
  <si>
    <t>Michoacan-CMF La Piedad de Cabadas</t>
  </si>
  <si>
    <t>3143</t>
  </si>
  <si>
    <t>MNIST000156</t>
  </si>
  <si>
    <t>016-207-00</t>
  </si>
  <si>
    <t>016_207_00_CMF_La_Piedad_de_Cabadas</t>
  </si>
  <si>
    <t>CMF La Piedad de Cabadas</t>
  </si>
  <si>
    <t>Nigromante No. 500 Col. Las Palmas</t>
  </si>
  <si>
    <t>Piedad de las Cabadas</t>
  </si>
  <si>
    <t>Jalisco-CMF Lagos de Moreno</t>
  </si>
  <si>
    <t>2011</t>
  </si>
  <si>
    <t>JCIST000506</t>
  </si>
  <si>
    <t>014-207-00</t>
  </si>
  <si>
    <t>014_207_00_CMF_Lagos_de_Moreno</t>
  </si>
  <si>
    <t>CMF Lagos de Moreno</t>
  </si>
  <si>
    <t>Av. Jalisco No. 120 Col. La Adelita</t>
  </si>
  <si>
    <t>Lagos de Moreno</t>
  </si>
  <si>
    <t>CDMX-CMF Legaria</t>
  </si>
  <si>
    <t>2411</t>
  </si>
  <si>
    <t>DFIST000510</t>
  </si>
  <si>
    <t>094-208-00</t>
  </si>
  <si>
    <t>094_208_00_CMF_Legaria</t>
  </si>
  <si>
    <t>CMF Legaria</t>
  </si>
  <si>
    <t>Calz. Legaria 381 Col. Deportiva Pencil</t>
  </si>
  <si>
    <t>CDMX-CMF Marina Nacional</t>
  </si>
  <si>
    <t>2113</t>
  </si>
  <si>
    <t>DFIST000505</t>
  </si>
  <si>
    <t>094-206-00</t>
  </si>
  <si>
    <t>094_206_00_CMF_Marina_Nacional</t>
  </si>
  <si>
    <t>CMF Marina Nacional</t>
  </si>
  <si>
    <t>Marina Nacional No. 261 Col. Anahuac</t>
  </si>
  <si>
    <t>Veracruz-CMF Martinez de la Torre</t>
  </si>
  <si>
    <t>3402</t>
  </si>
  <si>
    <t>VZIST000144</t>
  </si>
  <si>
    <t>030-216-00</t>
  </si>
  <si>
    <t>030_216_00_CMF_Martinez_de_la_Torre</t>
  </si>
  <si>
    <t>CMF Martinez de la Torre</t>
  </si>
  <si>
    <t>Rio Blanco SN Col. Mirador</t>
  </si>
  <si>
    <t>Martinez de la Torre</t>
  </si>
  <si>
    <t>Baja California-CMF Mesa de Otay</t>
  </si>
  <si>
    <t>2004</t>
  </si>
  <si>
    <t>BCIST000146</t>
  </si>
  <si>
    <t>002-208-00</t>
  </si>
  <si>
    <t>002_208_00_CMF_Mesa_de_Otay</t>
  </si>
  <si>
    <t>CMF Mesa de Otay</t>
  </si>
  <si>
    <t>Silvestre Revuelta No. 247 Col. Fracc. Nueva Tijuana</t>
  </si>
  <si>
    <t>Tijuana</t>
  </si>
  <si>
    <t>CDMX-CMF Milpa Alta</t>
  </si>
  <si>
    <t>2610</t>
  </si>
  <si>
    <t>DFIST000172</t>
  </si>
  <si>
    <t>093-214-00</t>
  </si>
  <si>
    <t>093_214_00_CMF_Milpa_Alta</t>
  </si>
  <si>
    <t>CMF Milpa Alta</t>
  </si>
  <si>
    <t>Av. Tabasco Oriente No. 184 Col. Barrio Santa Cruz</t>
  </si>
  <si>
    <t>Milpa Alta</t>
  </si>
  <si>
    <t>Veracruz-CMF Minatitlan</t>
  </si>
  <si>
    <t>2557</t>
  </si>
  <si>
    <t>VZIST000156</t>
  </si>
  <si>
    <t>030-214-00</t>
  </si>
  <si>
    <t>030_214_00_CMF_Minatitlan</t>
  </si>
  <si>
    <t>CMF Minatitlan</t>
  </si>
  <si>
    <t>Av. Justo Sierra No. 145 Col. Nueva Mina</t>
  </si>
  <si>
    <t>Minatitlan</t>
  </si>
  <si>
    <t>Hidalgo-CMF Mixquiahuala</t>
  </si>
  <si>
    <t>3109</t>
  </si>
  <si>
    <t>HGIST000082</t>
  </si>
  <si>
    <t>013-208-00</t>
  </si>
  <si>
    <t>013_208_00_CMF_Mixquiahuala</t>
  </si>
  <si>
    <t>CMF Mixquiahuala</t>
  </si>
  <si>
    <t>Plan de Ayala SN Col. Centro</t>
  </si>
  <si>
    <t>Mixquihuala</t>
  </si>
  <si>
    <t>CDMX-CMF Moctezuma</t>
  </si>
  <si>
    <t>2399</t>
  </si>
  <si>
    <t>DFIST000563</t>
  </si>
  <si>
    <t>092-207-00</t>
  </si>
  <si>
    <t>092_207_00_CMF_Moctezuma</t>
  </si>
  <si>
    <t>CMF Moctezuma</t>
  </si>
  <si>
    <t>Oriente 144 No. 286 Col. Aragon</t>
  </si>
  <si>
    <t>Michoacan-CMF Morelia</t>
  </si>
  <si>
    <t>3134</t>
  </si>
  <si>
    <t>MNIST000424</t>
  </si>
  <si>
    <t>016-214-00</t>
  </si>
  <si>
    <t>016_204_00_CMF_Morelia</t>
  </si>
  <si>
    <t>CMF Morelia</t>
  </si>
  <si>
    <t>Trabajadores de la Agricultura SN Col. Fovissste Morelos</t>
  </si>
  <si>
    <t>CDMX-CMF Morelos</t>
  </si>
  <si>
    <t>2396</t>
  </si>
  <si>
    <t>DFIST000551</t>
  </si>
  <si>
    <t>092-205-00</t>
  </si>
  <si>
    <t>092_205_00_CMF_Morelos</t>
  </si>
  <si>
    <t>CMF Morelos</t>
  </si>
  <si>
    <t>Av. Circunvalacion No. 60 Col. Morelos</t>
  </si>
  <si>
    <t>CDMX-CMF Narvarte</t>
  </si>
  <si>
    <t>2140</t>
  </si>
  <si>
    <t>DFIST000271</t>
  </si>
  <si>
    <t>093-205-00</t>
  </si>
  <si>
    <t>093_205_00_CMF_Narvarte</t>
  </si>
  <si>
    <t>CMF Narvarte</t>
  </si>
  <si>
    <t>Av. Eugenia No. 230 Col. Narvarte</t>
  </si>
  <si>
    <t>Estado de Mexico-CMF Nueva Oxtotitlan</t>
  </si>
  <si>
    <t>2637</t>
  </si>
  <si>
    <t>MCIST000401</t>
  </si>
  <si>
    <t>015-213-00</t>
  </si>
  <si>
    <t>015_213_00_CMF_Nueva_Oxtotitlan</t>
  </si>
  <si>
    <t>CMF Nueva Oxtotitlan</t>
  </si>
  <si>
    <t>Laguna de 7 Colores No. 404 Col. Miguel Hidalgo</t>
  </si>
  <si>
    <t>CDMX-CMF Observatorio</t>
  </si>
  <si>
    <t>2410</t>
  </si>
  <si>
    <t>DFIST000522</t>
  </si>
  <si>
    <t>094-212-00</t>
  </si>
  <si>
    <t>094_212_00_CMF_Observatorio</t>
  </si>
  <si>
    <t>CMF Observatorio</t>
  </si>
  <si>
    <t>Av. Observatorio No. 222 Col. Daniel Garza</t>
  </si>
  <si>
    <t>Aguascalientes-CMF Ojocaliente</t>
  </si>
  <si>
    <t>2234</t>
  </si>
  <si>
    <t>ASIST000062</t>
  </si>
  <si>
    <t>001-206-00</t>
  </si>
  <si>
    <t>001_206_00_CMF_Ojocaliente</t>
  </si>
  <si>
    <t>CMF Ojocaliente</t>
  </si>
  <si>
    <t>Av. Siglo 21 No. 6102 Col. Fracc. Solidaridad I</t>
  </si>
  <si>
    <t>CDMX-CMF Oriente</t>
  </si>
  <si>
    <t>2385</t>
  </si>
  <si>
    <t>DFIST000114</t>
  </si>
  <si>
    <t>092-206-00</t>
  </si>
  <si>
    <t>092_206_00_CMF_Oriente</t>
  </si>
  <si>
    <t>CMF Oriente</t>
  </si>
  <si>
    <t>Av. Telecomunicaciones SN Col. Ejercito Constitucionalista</t>
  </si>
  <si>
    <t>Estado de Mexico-CMF Pantitlan</t>
  </si>
  <si>
    <t>2635</t>
  </si>
  <si>
    <t>MCIST000384</t>
  </si>
  <si>
    <t>015-214-00</t>
  </si>
  <si>
    <t>015_214_00_CMF_Pantitlan</t>
  </si>
  <si>
    <t>CMF Pantitlan</t>
  </si>
  <si>
    <t>Av. Bordo de Xochiaca SN Col. Benito Juarez</t>
  </si>
  <si>
    <t>Nezahualcoyolt</t>
  </si>
  <si>
    <t>CDMX-CMF Peralvillo</t>
  </si>
  <si>
    <t>2360</t>
  </si>
  <si>
    <t>DFIST000423</t>
  </si>
  <si>
    <t>091-216-00</t>
  </si>
  <si>
    <t>091_216_00_CMF_Peralvillo</t>
  </si>
  <si>
    <t>CMF Peralvillo</t>
  </si>
  <si>
    <t>Constancia No. 18 Col. Morelos</t>
  </si>
  <si>
    <t>06200</t>
  </si>
  <si>
    <t>CDMX-CMF Peru</t>
  </si>
  <si>
    <t>2368</t>
  </si>
  <si>
    <t>DFIST000452</t>
  </si>
  <si>
    <t>091-219-00</t>
  </si>
  <si>
    <t>091_219_00_CMF_Peru</t>
  </si>
  <si>
    <t>CMF Peru</t>
  </si>
  <si>
    <t>Republica del Peru No. 25 y 27 Col. Centro</t>
  </si>
  <si>
    <t>06010</t>
  </si>
  <si>
    <t>Queretaro-CMF Queretaro</t>
  </si>
  <si>
    <t>2255</t>
  </si>
  <si>
    <t>QTIST000051</t>
  </si>
  <si>
    <t>022-205-00</t>
  </si>
  <si>
    <t>022_205_00_CMF_Queretaro</t>
  </si>
  <si>
    <t>CMF Queretaro</t>
  </si>
  <si>
    <t>Tecnologico No. 101 Nte Col. Centro</t>
  </si>
  <si>
    <t>CDMX-CMF Revolucion</t>
  </si>
  <si>
    <t>2404</t>
  </si>
  <si>
    <t>DFIST000300</t>
  </si>
  <si>
    <t>094-214-00</t>
  </si>
  <si>
    <t>094_214_00_CMF_Revolucion</t>
  </si>
  <si>
    <t>CMF Revolucion</t>
  </si>
  <si>
    <t>Av. Revolucion No. 537 Col. San Pedro de los Pinos</t>
  </si>
  <si>
    <t>03800</t>
  </si>
  <si>
    <t>Guanajuato-CMF Salamanca</t>
  </si>
  <si>
    <t>2650</t>
  </si>
  <si>
    <t>GTIST000325</t>
  </si>
  <si>
    <t>011-205-00</t>
  </si>
  <si>
    <t>011_205_00_CMF_Salamanca</t>
  </si>
  <si>
    <t>CMF Salamanca</t>
  </si>
  <si>
    <t>Obregon Sur 1401 Col. Fovissste</t>
  </si>
  <si>
    <t>Salamanca</t>
  </si>
  <si>
    <t>Oaxaca-CMF Salina Cruz</t>
  </si>
  <si>
    <t>3219</t>
  </si>
  <si>
    <t>OCIST000136</t>
  </si>
  <si>
    <t>020-204-00</t>
  </si>
  <si>
    <t>020_204_00_CMF_Salina_Cruz</t>
  </si>
  <si>
    <t>CMF Salina Cruz</t>
  </si>
  <si>
    <t>Frontera No. 25 Col. Barrio Nuevo</t>
  </si>
  <si>
    <t>Salina Cruz</t>
  </si>
  <si>
    <t>Coahuila-CMF Saltillo</t>
  </si>
  <si>
    <t>2087</t>
  </si>
  <si>
    <t>CLIST000106</t>
  </si>
  <si>
    <t>005-221-00</t>
  </si>
  <si>
    <t>005_221_00_CMF_Saltillo</t>
  </si>
  <si>
    <t>CMF Saltillo</t>
  </si>
  <si>
    <t>Murguia No. 546 Col. Centro</t>
  </si>
  <si>
    <t>Veracruz-CMF San Andres Tuxtla</t>
  </si>
  <si>
    <t>3405</t>
  </si>
  <si>
    <t>VZIST000231</t>
  </si>
  <si>
    <t>030-213-00</t>
  </si>
  <si>
    <t>030_213_00_CMF_San_Andres_Tuxtla</t>
  </si>
  <si>
    <t>CMF San Andres Tuxtla</t>
  </si>
  <si>
    <t>Catemaco SN Fracc. San Andres Col. Fracc. San Andres</t>
  </si>
  <si>
    <t>San Andres Tuxtla</t>
  </si>
  <si>
    <t>CDMX-CMF San Antonio Abad</t>
  </si>
  <si>
    <t>2370</t>
  </si>
  <si>
    <t>DFIST000406</t>
  </si>
  <si>
    <t>091-213-00</t>
  </si>
  <si>
    <t>091_213_00_CMF_San_Antonio_Abad</t>
  </si>
  <si>
    <t>CMF San Antonio Abad</t>
  </si>
  <si>
    <t>Manuel Jose Othon No. 169 Col. Transito</t>
  </si>
  <si>
    <t>06820</t>
  </si>
  <si>
    <t>Puebla-CMF San Martin Texmelucan</t>
  </si>
  <si>
    <t>3241</t>
  </si>
  <si>
    <t>PLIST000125</t>
  </si>
  <si>
    <t>021-209-00</t>
  </si>
  <si>
    <t>021_209_00_CMF_San_Martin_Texmelucan</t>
  </si>
  <si>
    <t>CMF San Martin Texmelucan</t>
  </si>
  <si>
    <t>Cofre de Perote No. 1600 Col. Ojo de Agua</t>
  </si>
  <si>
    <t>San Martin Texmelucan</t>
  </si>
  <si>
    <t>CDMX-CMF Santa Maria</t>
  </si>
  <si>
    <t>2353</t>
  </si>
  <si>
    <t>DFIST000440</t>
  </si>
  <si>
    <t>091-218-00</t>
  </si>
  <si>
    <t>091_218_00_CMF_Santa_Maria</t>
  </si>
  <si>
    <t>CMF Santa Maria</t>
  </si>
  <si>
    <t>Alzate No. 168 Col. Santa Maria la Rivera</t>
  </si>
  <si>
    <t>06400</t>
  </si>
  <si>
    <t>Estado de Mexico-CMF Satelite Naucalpan</t>
  </si>
  <si>
    <t>2438</t>
  </si>
  <si>
    <t>MCIST000355</t>
  </si>
  <si>
    <t>015-207-00</t>
  </si>
  <si>
    <t>015_207_00_CMF_Satelite_Naucalpan</t>
  </si>
  <si>
    <t>CMF Satelite Naucalpan</t>
  </si>
  <si>
    <t>Alamo Plateado No. 1 Esq. Lomas Verdes Col. Los Alamos</t>
  </si>
  <si>
    <t>Naucalpan</t>
  </si>
  <si>
    <t>Estado de Mexico-CMF Texcoco de Mora</t>
  </si>
  <si>
    <t>2456</t>
  </si>
  <si>
    <t>MCIST000186</t>
  </si>
  <si>
    <t>015-210-00</t>
  </si>
  <si>
    <t>015_210_00_CMF_Texcoco_de_Mora</t>
  </si>
  <si>
    <t>CMF Texcoco de Mora</t>
  </si>
  <si>
    <t>Leandro Valle Esq. Silverio Perez SN Col. San Pedro</t>
  </si>
  <si>
    <t>Estado de Mexico-CMF Tlalnepantla</t>
  </si>
  <si>
    <t>2180</t>
  </si>
  <si>
    <t>MCIST000203</t>
  </si>
  <si>
    <t>015-208-00</t>
  </si>
  <si>
    <t>015_208_00_CMF_Tlalnepantla</t>
  </si>
  <si>
    <t>CMF Tlalnepantla</t>
  </si>
  <si>
    <t>Av. Chilpancingo SN Col. Valle Ceylan</t>
  </si>
  <si>
    <t>Tlalnepantla</t>
  </si>
  <si>
    <t>CDMX-CMF Tlalpan</t>
  </si>
  <si>
    <t>2154</t>
  </si>
  <si>
    <t>DFIST000230</t>
  </si>
  <si>
    <t>093-209-00</t>
  </si>
  <si>
    <t>093_209_00_CMF_Tlalpan</t>
  </si>
  <si>
    <t>CMF Tlalpan</t>
  </si>
  <si>
    <t>Gral. Victoria No. 2 Col. Tlalpan Centro</t>
  </si>
  <si>
    <t>Tlaxcala-CMF Tlaxcala</t>
  </si>
  <si>
    <t>3009</t>
  </si>
  <si>
    <t>TLIST000066</t>
  </si>
  <si>
    <t>029-205-00</t>
  </si>
  <si>
    <t>029_205_00_CMF_Tlaxcala</t>
  </si>
  <si>
    <t>CMF Tlaxcala</t>
  </si>
  <si>
    <t>Juarez No 226 Col. Barrio Cuahuatzala</t>
  </si>
  <si>
    <t>San Esteban Tizatlan</t>
  </si>
  <si>
    <t>Hidalgo-CMF Tulancingo</t>
  </si>
  <si>
    <t>3104</t>
  </si>
  <si>
    <t>HGIST000140</t>
  </si>
  <si>
    <t>013-206-00</t>
  </si>
  <si>
    <t>013_206_00_CMF_Tulancingo</t>
  </si>
  <si>
    <t>CMF Tulancingo</t>
  </si>
  <si>
    <t>Johannes Brahams y Tchaikovsky SN Col. Jardines del Sur</t>
  </si>
  <si>
    <t>Tulancingo</t>
  </si>
  <si>
    <t>Chiapas-CMF Tuxtla Gutierrez</t>
  </si>
  <si>
    <t>2930</t>
  </si>
  <si>
    <t>CSIST000246</t>
  </si>
  <si>
    <t>007-208-00</t>
  </si>
  <si>
    <t>007_208_00_CMF_Tuxtla_Gutierrez</t>
  </si>
  <si>
    <t>CMF Tuxtla Gutierrez</t>
  </si>
  <si>
    <t>7A Sur Poniente No. 1515 Col. Jamaipa</t>
  </si>
  <si>
    <t>Jalisco-CMF Union de Tula</t>
  </si>
  <si>
    <t>2945</t>
  </si>
  <si>
    <t>JCIST000925</t>
  </si>
  <si>
    <t>014-209-04</t>
  </si>
  <si>
    <t>014_209_04_CMF_Union_de_Tula</t>
  </si>
  <si>
    <t>UMF</t>
  </si>
  <si>
    <t>CMF Union de Tula</t>
  </si>
  <si>
    <t>Juarez No. 66 2 Col. Union de Tula</t>
  </si>
  <si>
    <t>Union de Tula</t>
  </si>
  <si>
    <t>Estado de Mexico-CMF Valle de Aragon</t>
  </si>
  <si>
    <t>2634</t>
  </si>
  <si>
    <t>MCIST000116</t>
  </si>
  <si>
    <t>015-206-00</t>
  </si>
  <si>
    <t>015_206_00_CMF_Valle_de_Aragon</t>
  </si>
  <si>
    <t>CMF Valle de Aragon</t>
  </si>
  <si>
    <t>Valle de Yucon Esq. Valle del Carmen S/N Col. Valle de Aragon 1A. Seccion</t>
  </si>
  <si>
    <t>Nezahualcoyotl</t>
  </si>
  <si>
    <t>CDMX-CMF Villa Alvaro Obregon</t>
  </si>
  <si>
    <t>2152</t>
  </si>
  <si>
    <t>DFIST000184</t>
  </si>
  <si>
    <t>093-219-00</t>
  </si>
  <si>
    <t>093_219_00_CMF_Villa_Alvaro_Obregon</t>
  </si>
  <si>
    <t>CMF Villa Alvaro Obregon</t>
  </si>
  <si>
    <t>Av. Revolucion No. 1556 Col. San Angel</t>
  </si>
  <si>
    <t>01000</t>
  </si>
  <si>
    <t>CDMX-CMF Xochimilco</t>
  </si>
  <si>
    <t>2428</t>
  </si>
  <si>
    <t>DFIST000254</t>
  </si>
  <si>
    <t>093-213-00</t>
  </si>
  <si>
    <t>093_213_00_CMF_Xochimilco</t>
  </si>
  <si>
    <t>CMF Xochimilco</t>
  </si>
  <si>
    <t>Gladiolas No. 158. Esq. Division del Norte Col. Barrio de San Pedro</t>
  </si>
  <si>
    <t>Xochimilco</t>
  </si>
  <si>
    <t>Zacatecas-CMF Zacatecas</t>
  </si>
  <si>
    <t>4539</t>
  </si>
  <si>
    <t>ZSIST000370</t>
  </si>
  <si>
    <t>032-207-00</t>
  </si>
  <si>
    <t>032_207_00_CMF_Zacatecas</t>
  </si>
  <si>
    <t>CMF Zacatecas</t>
  </si>
  <si>
    <t>Cjon. de Ruiz No. 401 Col. Centro</t>
  </si>
  <si>
    <t>Guerrero-CMFE Cd Altamirano</t>
  </si>
  <si>
    <t>3062</t>
  </si>
  <si>
    <t>GRIST000211</t>
  </si>
  <si>
    <t>012-209-00</t>
  </si>
  <si>
    <t>012_209_00_CMFE_Cd_Altamirano</t>
  </si>
  <si>
    <t>CMFE</t>
  </si>
  <si>
    <t>CMFE Cd Altamirano</t>
  </si>
  <si>
    <t>Cipriano Jaimas No. 804 Col. Lindavista Altamirano</t>
  </si>
  <si>
    <t>Altamirano</t>
  </si>
  <si>
    <t>Quintana Roo-CMFE Cozumel</t>
  </si>
  <si>
    <t>3274</t>
  </si>
  <si>
    <t>QRIST000014</t>
  </si>
  <si>
    <t>023-206-00</t>
  </si>
  <si>
    <t>023_206_00_CMFE_Cozumel</t>
  </si>
  <si>
    <t>CMFE Cozumel</t>
  </si>
  <si>
    <t>Primera Sur Esq. Con 60 Av. No. 99 Col. Adolfo Lopez Mateos</t>
  </si>
  <si>
    <t>Cozumel</t>
  </si>
  <si>
    <t>Morelos-CMFE Cuernavaca</t>
  </si>
  <si>
    <t>2214</t>
  </si>
  <si>
    <t>MSIST000305</t>
  </si>
  <si>
    <t>017-206-00</t>
  </si>
  <si>
    <t>017_206_00_CMFE_Cuernavaca</t>
  </si>
  <si>
    <t>CMFE Cuernavaca</t>
  </si>
  <si>
    <t>Av. Alvaro Obregon No. 335 Col. Centro</t>
  </si>
  <si>
    <t>San Luis Potosi-CMFE Dr Pedro Barcena Hiriart SLP</t>
  </si>
  <si>
    <t>2268</t>
  </si>
  <si>
    <t>SPIST000212</t>
  </si>
  <si>
    <t>024-206-00</t>
  </si>
  <si>
    <t>024_206_00_CMFE_Dr_Pedro_Barcena_Hiriart_SLP</t>
  </si>
  <si>
    <t>CMFE Dr Pedro Barcena Hiriart SLP</t>
  </si>
  <si>
    <t>Luna SN Col. Fracc. Capricornio</t>
  </si>
  <si>
    <t>Morelos-CMFE Jojutla de Juarez</t>
  </si>
  <si>
    <t>2689</t>
  </si>
  <si>
    <t>MSIST000054</t>
  </si>
  <si>
    <t>017-208-00</t>
  </si>
  <si>
    <t>017_208_00_CMFE_Jojutla_de_Juarez</t>
  </si>
  <si>
    <t>CMFE Jojutla de Juarez</t>
  </si>
  <si>
    <t>Nicolas Bravo No. 1 Col. Fracc. Reforma</t>
  </si>
  <si>
    <t>Jojutla de Juarez</t>
  </si>
  <si>
    <t>Guanajuato-CMFE Leon</t>
  </si>
  <si>
    <t>2194</t>
  </si>
  <si>
    <t>011-209-00</t>
  </si>
  <si>
    <t>011_209_00_CMFE_Leon</t>
  </si>
  <si>
    <t>CMFE Leon</t>
  </si>
  <si>
    <t>Cholula Esq. Pareo de los Quetzales SN Col. Burocratica Federal</t>
  </si>
  <si>
    <t>Leon de los Aldama</t>
  </si>
  <si>
    <t>Nuevo Leon-CMFE Linares</t>
  </si>
  <si>
    <t>2711</t>
  </si>
  <si>
    <t>NLIST000076</t>
  </si>
  <si>
    <t>019-205-00</t>
  </si>
  <si>
    <t>019_205_00_CMFE_Linares</t>
  </si>
  <si>
    <t>CMFE Linares</t>
  </si>
  <si>
    <t>Cipres N 680 Ente Pino y Sauce Col. Centro</t>
  </si>
  <si>
    <t>Yucatan-CMFE Merida Col Lindavista</t>
  </si>
  <si>
    <t>2523</t>
  </si>
  <si>
    <t>YNIST000112</t>
  </si>
  <si>
    <t>031-201-00</t>
  </si>
  <si>
    <t>031_201_00_CMFE_Merida_Col_Lindavista</t>
  </si>
  <si>
    <t>CMFE Merida Col Lindavista</t>
  </si>
  <si>
    <t>19 B No. 372 Col. Pedregales de Lindavista</t>
  </si>
  <si>
    <t>Oaxaca-CMFE Oaxaca</t>
  </si>
  <si>
    <t>2858</t>
  </si>
  <si>
    <t>OCIST000100</t>
  </si>
  <si>
    <t>020-209-00</t>
  </si>
  <si>
    <t>020_209_00_CMFE_Oaxaca</t>
  </si>
  <si>
    <t>CMFE Oaxaca</t>
  </si>
  <si>
    <t>Blvd. Eduardo Vasconcelos 615 Col. Barrio de Jalatlaco</t>
  </si>
  <si>
    <t>Guerrero-CMFE Ometepec</t>
  </si>
  <si>
    <t>3059</t>
  </si>
  <si>
    <t>GRIST000194</t>
  </si>
  <si>
    <t>012-207-00</t>
  </si>
  <si>
    <t>012_207_00_CMFE_Ometepec</t>
  </si>
  <si>
    <t>CMFE Ometepec</t>
  </si>
  <si>
    <t>Sonora No. 5 Col. Pescadillo</t>
  </si>
  <si>
    <t>Ometepec</t>
  </si>
  <si>
    <t>Hidalgo-CMFE Pachuca</t>
  </si>
  <si>
    <t>4627</t>
  </si>
  <si>
    <t>HGIST000386</t>
  </si>
  <si>
    <t>013-210-00</t>
  </si>
  <si>
    <t>013_210_00_CMFE_Pachuca</t>
  </si>
  <si>
    <t>CMFE Pachuca</t>
  </si>
  <si>
    <t>Av. Nuevo Pachuca S/N Juan C. Doria Col. Parque Urbano Pachoacan</t>
  </si>
  <si>
    <t>Pachuca de Soto</t>
  </si>
  <si>
    <t>Puebla-CMFE Puebla Pue</t>
  </si>
  <si>
    <t>2013</t>
  </si>
  <si>
    <t>PLIST000212</t>
  </si>
  <si>
    <t>021-214-00</t>
  </si>
  <si>
    <t>021_214_00_CMFE_Puebla_Pue</t>
  </si>
  <si>
    <t>CMFE Puebla Pue</t>
  </si>
  <si>
    <t>Pino Suarez No. 20 Col. Santa Maria la Rivera</t>
  </si>
  <si>
    <t>Oaxaca-CMFE Puerto Escondido</t>
  </si>
  <si>
    <t>3218</t>
  </si>
  <si>
    <t>OCIST000462</t>
  </si>
  <si>
    <t>020-208-00</t>
  </si>
  <si>
    <t>020_208_00_CMFE_Puerto_Escondido</t>
  </si>
  <si>
    <t>CMFE Puerto Escondido</t>
  </si>
  <si>
    <t>Segunda Oriente Esq. Quinta Norte SN Col. Sector Reforma</t>
  </si>
  <si>
    <t>Puerto Escondido</t>
  </si>
  <si>
    <t>Tamaulipas-CMFE Tampico</t>
  </si>
  <si>
    <t>2019</t>
  </si>
  <si>
    <t>TSIST000136</t>
  </si>
  <si>
    <t>028-211-00</t>
  </si>
  <si>
    <t>028_211_00_CMFE_Tampico</t>
  </si>
  <si>
    <t>CMFE Tampico</t>
  </si>
  <si>
    <t>Av. Universidad No. 1704 Col. Universidad Sur</t>
  </si>
  <si>
    <t>Tampico</t>
  </si>
  <si>
    <t>Guerrero-CMFE Tecpan de Galeana</t>
  </si>
  <si>
    <t>3060</t>
  </si>
  <si>
    <t>GRIST000264</t>
  </si>
  <si>
    <t>012-210-00</t>
  </si>
  <si>
    <t>012_210_00_CMFE_Tecpan_de_Galeana</t>
  </si>
  <si>
    <t>CMFE Tecpan de Galeana</t>
  </si>
  <si>
    <t>Av. Mangos SN Col. El Cerrito</t>
  </si>
  <si>
    <t>Tecpan de Galeana</t>
  </si>
  <si>
    <t>Guerrero-CMFE Tlapa de Comonfort</t>
  </si>
  <si>
    <t>3061</t>
  </si>
  <si>
    <t>GRIST000293</t>
  </si>
  <si>
    <t>012-212-00</t>
  </si>
  <si>
    <t>012_212_00_CMFE_Tlapa_de_Comonfort</t>
  </si>
  <si>
    <t>CMFE Tlapa de Comonfort</t>
  </si>
  <si>
    <t>Conocido Carr. Tlapa Puebla Col. Tlapa de Comonfort</t>
  </si>
  <si>
    <t>Tlapa de Comonfort</t>
  </si>
  <si>
    <t>Oaxaca-CMFE Tlaxiaco</t>
  </si>
  <si>
    <t>3238</t>
  </si>
  <si>
    <t>OCIST000235</t>
  </si>
  <si>
    <t>020-211-00</t>
  </si>
  <si>
    <t>020_211_00_CMFE_Tlaxiaco</t>
  </si>
  <si>
    <t>CMFE Tlaxiaco</t>
  </si>
  <si>
    <t>Carretera A Yucudaa Km 54.5 Col. Barrio San Diego</t>
  </si>
  <si>
    <t>Heroica Cd de Tlaxiaco</t>
  </si>
  <si>
    <t>Coahuila-CMFE Torreon</t>
  </si>
  <si>
    <t>2018</t>
  </si>
  <si>
    <t>CLIST000140</t>
  </si>
  <si>
    <t>005-216-00</t>
  </si>
  <si>
    <t>005_216_00_CMFE_Torreon</t>
  </si>
  <si>
    <t>CMFE Torreon</t>
  </si>
  <si>
    <t>Mar No. 395 Col. Fracc. Torreon Residencial</t>
  </si>
  <si>
    <t>Estado de Mexico-CMFE Xalostoc</t>
  </si>
  <si>
    <t>2644</t>
  </si>
  <si>
    <t>MCIST000063</t>
  </si>
  <si>
    <t>015-211-00</t>
  </si>
  <si>
    <t>015_211_00_CMFE_Xalostoc</t>
  </si>
  <si>
    <t>CMFE Xalostoc</t>
  </si>
  <si>
    <t>Av. Via Morelos Km 16.5 Col. Jardines de Casa Nueva</t>
  </si>
  <si>
    <t>CDMX-CMN 20 de Noviembre</t>
  </si>
  <si>
    <t>3027</t>
  </si>
  <si>
    <t>DFIST000312</t>
  </si>
  <si>
    <t>096-201-00</t>
  </si>
  <si>
    <t>096_201_00_CMN_20_de_Noviembre</t>
  </si>
  <si>
    <t>CMN</t>
  </si>
  <si>
    <t>CMN 20 de Noviembre</t>
  </si>
  <si>
    <t>Felix Cuevas No. 540 Col. del Valle</t>
  </si>
  <si>
    <t>03229</t>
  </si>
  <si>
    <t>CDMX-Coordinacion Administrativa de la DAYF</t>
  </si>
  <si>
    <t>3028</t>
  </si>
  <si>
    <t>140-144-00</t>
  </si>
  <si>
    <t>140_144_00_Coordinacion_Administrativa_de_la_DAYF</t>
  </si>
  <si>
    <t>Coordinacion Administrativa de la DAYF</t>
  </si>
  <si>
    <t>San Fernando No. 547 Col. Toriello Guerra</t>
  </si>
  <si>
    <t>CDMX-Coordinacion Administrativa de la DOR</t>
  </si>
  <si>
    <t>4542</t>
  </si>
  <si>
    <t>130-134-00</t>
  </si>
  <si>
    <t>130_131_00_Coordinacion_Administrativa_de_la_DOR</t>
  </si>
  <si>
    <t>Coordinacion Administrativa de la DOR</t>
  </si>
  <si>
    <t>Ignacio L. Vallarta No.1 Piso 5 Colonia Tabacalera</t>
  </si>
  <si>
    <t>CDMX-Coordinacion Administrativa DIRI</t>
  </si>
  <si>
    <t>120-124-00</t>
  </si>
  <si>
    <t>120_124_00_Coordinacion_Administrativa_DIRI</t>
  </si>
  <si>
    <t>Coordinacion Administrativa DIRI</t>
  </si>
  <si>
    <t>Rio Rhin No. 3 Col. Cuauhtemoc</t>
  </si>
  <si>
    <t>06500</t>
  </si>
  <si>
    <t>CDMX-Coordinacion Administrativa DJ</t>
  </si>
  <si>
    <t>4500</t>
  </si>
  <si>
    <t>600-606-00</t>
  </si>
  <si>
    <t>600_606_00_Coordinacion_Administrativa_DJ</t>
  </si>
  <si>
    <t>Coordinacion Administrativa DJ</t>
  </si>
  <si>
    <t>CDMX-Coordinacion Administrativa DM</t>
  </si>
  <si>
    <t>200-206-00</t>
  </si>
  <si>
    <t>200_206_00_Coordinacion_Administrativa_DM</t>
  </si>
  <si>
    <t>Coordinacion Administrativa DM</t>
  </si>
  <si>
    <t>CDMX-Coordinacion Administrativa DPESYC</t>
  </si>
  <si>
    <t>300-306-00</t>
  </si>
  <si>
    <t>300_306_00_Coordinacion_Administrativa_DPESYC</t>
  </si>
  <si>
    <t>Coordinacion Administrativa DPESYC</t>
  </si>
  <si>
    <t>Colima-Departamento de Accion Social Cultural y Deportivo</t>
  </si>
  <si>
    <t>2559</t>
  </si>
  <si>
    <t>006-304-00</t>
  </si>
  <si>
    <t>006_304_00_Departamento_de_Accion_Social_Cultural_y_Deportivo</t>
  </si>
  <si>
    <t>Departamento de Accion Social Cultural y Deportivo</t>
  </si>
  <si>
    <t>Maria Ahumada de Gomez No. 100 Col. Sendero del Carmen</t>
  </si>
  <si>
    <t>Villa de Gomez</t>
  </si>
  <si>
    <t>Chiapas-Departamento de Accion Social Cultural y Deportivo</t>
  </si>
  <si>
    <t>007-304-00</t>
  </si>
  <si>
    <t>007_304_00_Departamento_de_Accion_Social_Cultural_y_Deportivo</t>
  </si>
  <si>
    <t>7a. Av. Sur y 15a.  Pte. No. 1515 Col. Xamaipak</t>
  </si>
  <si>
    <t>Quintana Roo-Departamento de Accion Social Cultural y Deportivo</t>
  </si>
  <si>
    <t>3893</t>
  </si>
  <si>
    <t>023-304-00</t>
  </si>
  <si>
    <t>023_304_00_Departamento_de_Accion_Social_Cultural_y_Deportivo</t>
  </si>
  <si>
    <t>Av. Erick Paolo Martinez Esq. Tecnologico de Tuxtla Gutierrez SN Col. Magisterial</t>
  </si>
  <si>
    <t>Othon P. Blanco, Chetumal</t>
  </si>
  <si>
    <t>Estado de Mexico-Departamento de Accion Social Cultural y Deportivo</t>
  </si>
  <si>
    <t>015-304-00</t>
  </si>
  <si>
    <t>015_304_00_Departamento_de_Accion_Social_Cultural_y_Deportivo</t>
  </si>
  <si>
    <t>Av. Independencia Oriente No. 1808 Col. Zona Industrial</t>
  </si>
  <si>
    <t>CDMX-Departamento de Adquisiciones</t>
  </si>
  <si>
    <t>2371</t>
  </si>
  <si>
    <t>091-146-00</t>
  </si>
  <si>
    <t>091_146_00_Departamento_de_Adquisiciones</t>
  </si>
  <si>
    <t>Departamento de Adquisiciones</t>
  </si>
  <si>
    <t>Manuel Gonzalez 436 Col. Nonoalco Tlatelolco</t>
  </si>
  <si>
    <t>2412</t>
  </si>
  <si>
    <t>094-146-00</t>
  </si>
  <si>
    <t>094_146_00_Departamento_de_Adquisiciones</t>
  </si>
  <si>
    <t>Jose Moran No. 85 Col. San Miguel Chapultepec</t>
  </si>
  <si>
    <t>CDMX-Departamento de Adquisiciones Incluye Almacen</t>
  </si>
  <si>
    <t>2395</t>
  </si>
  <si>
    <t>092-146-00</t>
  </si>
  <si>
    <t>092_146_00_Departamento_de_Adquisiciones_Incluye_Almacen</t>
  </si>
  <si>
    <t>Departamento de Adquisiciones Incluye Almacen</t>
  </si>
  <si>
    <t>Enrique Contel SN Col. Ejercito Constitucionalista</t>
  </si>
  <si>
    <t>Izpapalapa</t>
  </si>
  <si>
    <t>Estado de Mexico-Departamento de Adquisiciones Incluye Almacen Estatal</t>
  </si>
  <si>
    <t>2173</t>
  </si>
  <si>
    <t>015-146-00</t>
  </si>
  <si>
    <t>015_146_00_Departamento_de_Adquisiciones_Incluye_Almacen_Estatal</t>
  </si>
  <si>
    <t>Departamento de Adquisiciones Incluye Almacen Estatal</t>
  </si>
  <si>
    <t>Av. Independencia Oriente No.1914, Col. Santa Ana Tlapaltitlan</t>
  </si>
  <si>
    <t>CDMX-Departamento de Adquisiciones Incluye Almacen ZonaSur</t>
  </si>
  <si>
    <t>2830</t>
  </si>
  <si>
    <t>093-146-00</t>
  </si>
  <si>
    <t>093_146_00_Departamento_de_Adquisiciones_Incluye_Almacen_ZonaSur</t>
  </si>
  <si>
    <t>Departamento de Adquisiciones Incluye Almacen ZonaSur</t>
  </si>
  <si>
    <t>San Fernando No. 15. entre Tetitla Col. Toriello Guerra</t>
  </si>
  <si>
    <t>Chihuahua-Departamento de Obras y Servicios Generales</t>
  </si>
  <si>
    <t>2344</t>
  </si>
  <si>
    <t>008-142-00</t>
  </si>
  <si>
    <t>008_142_00_Departamento_de_Obras_y_Servicios_Generales</t>
  </si>
  <si>
    <t>Departamento de Obras y Servicios Generales</t>
  </si>
  <si>
    <t>H. Colegio Militar No. 6300. entre Juan Bautista y Tercera Col. Nombre de Dios</t>
  </si>
  <si>
    <t>Estado de Mexico-Departamento de Obras y Servicios Generales</t>
  </si>
  <si>
    <t>2025</t>
  </si>
  <si>
    <t>015-142-00</t>
  </si>
  <si>
    <t>015_142_00_Departamento_de_Obras_y_Servicios_Generales</t>
  </si>
  <si>
    <t>1 de Mayo No. 1637 Entre Robert Bosch y Robert Fulton Col. Zona Industrial</t>
  </si>
  <si>
    <t>Sinaloa-Departamento de Pensiones y Recursos Materiales</t>
  </si>
  <si>
    <t>3887</t>
  </si>
  <si>
    <t>025-302-00</t>
  </si>
  <si>
    <t>025_302_00_Departamento_de_Pensiones_y_Recursos_Materiales</t>
  </si>
  <si>
    <t>Departamento de Pensiones y Recursos Materiales</t>
  </si>
  <si>
    <t>Ramon Lopez Velarde 2739 Col. Bachinguelato</t>
  </si>
  <si>
    <t>CDMX-Direccion de Administracion y Finanzas</t>
  </si>
  <si>
    <t>140-000-00</t>
  </si>
  <si>
    <t>140_000_00_Direccion_de_Administracion_y_Finanzas</t>
  </si>
  <si>
    <t>Direccion de Administracion y Finanzas</t>
  </si>
  <si>
    <t>CDMX-Direccion de Delegaciones</t>
  </si>
  <si>
    <t>130-000-00</t>
  </si>
  <si>
    <t>130_000_00_Direccion_de_Delegaciones</t>
  </si>
  <si>
    <t>Direccion de Delegaciones</t>
  </si>
  <si>
    <t>Jesus Garcia Corona No. 140 Piso 9 Ala A, Col. Buenavista</t>
  </si>
  <si>
    <t>CDMX-Direccion de Incorporacion Recaudacion e Inversiones</t>
  </si>
  <si>
    <t>3021</t>
  </si>
  <si>
    <t>120-000-00</t>
  </si>
  <si>
    <t>120_000_00_Direccion_de_Incorporacion_Recaudacion_e__Inversiones</t>
  </si>
  <si>
    <t>Direccion de Incorporacion Recaudacion e Inversiones</t>
  </si>
  <si>
    <t>CDMX-Direccion de Oficinas de Representacion</t>
  </si>
  <si>
    <t>2811</t>
  </si>
  <si>
    <t>130_000_00_Direccion_de_Oficinas_de_Representacion</t>
  </si>
  <si>
    <t>Direccion de Oficinas de Representacion</t>
  </si>
  <si>
    <t>06530</t>
  </si>
  <si>
    <t>CDMX-Direccion de Prestaciones Economicas Sociales y Culturales</t>
  </si>
  <si>
    <t>300-000-00</t>
  </si>
  <si>
    <t>300_000_00_Direccion_de_Prestaciones_Economicas_Sociales_y_Culturales</t>
  </si>
  <si>
    <t>Direccion de Prestaciones Economicas Sociales y Culturales</t>
  </si>
  <si>
    <t>Jesus Garcia Corona No. 140 Piso 10 Ala A, Col. Buenavista.</t>
  </si>
  <si>
    <t>CDMX-Direccion Estrategica de Informacion Supervision y Evaluacion</t>
  </si>
  <si>
    <t>180-000-00</t>
  </si>
  <si>
    <t>180_000_00_Direccion_Estrategica_de_Informacion_Supervision_y_Evaluacion</t>
  </si>
  <si>
    <t>Direccion Estrategica de Informacion Supervision y Evaluacion</t>
  </si>
  <si>
    <t>CDMX-Direccion General</t>
  </si>
  <si>
    <t>100-000-00</t>
  </si>
  <si>
    <t>100_000_00_Direccion_General</t>
  </si>
  <si>
    <t>Direccion General</t>
  </si>
  <si>
    <t>CDMX-Direccion Juridica</t>
  </si>
  <si>
    <t>600-000-00</t>
  </si>
  <si>
    <t>600_000_00_Direccion_Juridica</t>
  </si>
  <si>
    <t>Direccion Juridica</t>
  </si>
  <si>
    <t>Jesus Garcia Corona No. 140 Piso 11 Ala A, Col. Buenavista.</t>
  </si>
  <si>
    <t>CDMX-Direccion Medica</t>
  </si>
  <si>
    <t>200-000-00</t>
  </si>
  <si>
    <t>200_000_00_Direccion_Medica</t>
  </si>
  <si>
    <t>Direccion Medica</t>
  </si>
  <si>
    <t>San Fernando No. 547 Edificio A, Piso 8, Col. Toriello Guerra.</t>
  </si>
  <si>
    <t>Baja California Sur-DPSH Baja California Sur</t>
  </si>
  <si>
    <t>2817</t>
  </si>
  <si>
    <t>003-302-00</t>
  </si>
  <si>
    <t>003_302_00_DPSH_Baja_California_Sur</t>
  </si>
  <si>
    <t>DPSH</t>
  </si>
  <si>
    <t>DPSH Baja California Sur</t>
  </si>
  <si>
    <t>Mexico SN Col. Fracc. La Perla</t>
  </si>
  <si>
    <t>Guanajuato-DPSH Celaya</t>
  </si>
  <si>
    <t>2189</t>
  </si>
  <si>
    <t>011-302-00</t>
  </si>
  <si>
    <t>011_302_00_DPSH_Celaya</t>
  </si>
  <si>
    <t>DPSH Celaya</t>
  </si>
  <si>
    <t>Chiapas-DPSH Chiapas</t>
  </si>
  <si>
    <t>2929</t>
  </si>
  <si>
    <t>007-302-00</t>
  </si>
  <si>
    <t>007_302_00_DPSH_Chiapas</t>
  </si>
  <si>
    <t>DPSH Chiapas</t>
  </si>
  <si>
    <t>4 Oriente Norte No. 1428 entre 13 y 14 Norte Col. Barrio la Pimienta</t>
  </si>
  <si>
    <t>Coahuila-DPSH Coahuila</t>
  </si>
  <si>
    <t>2080</t>
  </si>
  <si>
    <t>005-302-00</t>
  </si>
  <si>
    <t>005_302_00_DPSH_Coahuila</t>
  </si>
  <si>
    <t>DPSH Coahuila</t>
  </si>
  <si>
    <t>Victoria No. 654 Col. Centro</t>
  </si>
  <si>
    <t>Durango-DPSH Durango</t>
  </si>
  <si>
    <t>2161</t>
  </si>
  <si>
    <t>010-302-00</t>
  </si>
  <si>
    <t>010_302_00_DPSH_Durango</t>
  </si>
  <si>
    <t>DPSH Durango</t>
  </si>
  <si>
    <t>Blvd. Francisco Villa No. 703, Fracc. Las Americas</t>
  </si>
  <si>
    <t>Jalisco-DPSH Jalisco</t>
  </si>
  <si>
    <t>2206</t>
  </si>
  <si>
    <t>014-302-00</t>
  </si>
  <si>
    <t>014_302_00_DPSH_Jalisco</t>
  </si>
  <si>
    <t>DPSH Jalisco</t>
  </si>
  <si>
    <t>Av. Alcalde No. 500 Col. Alcalde de Barranquitas</t>
  </si>
  <si>
    <t>Nuevo Leon-DPSH Nuevo Leon</t>
  </si>
  <si>
    <t>2230</t>
  </si>
  <si>
    <t>019-302-00</t>
  </si>
  <si>
    <t>019_302_00_DPSH_Nuevo_Leon</t>
  </si>
  <si>
    <t>DPSH Nuevo Leon</t>
  </si>
  <si>
    <t>Ocampo No. 379 Col. Centro</t>
  </si>
  <si>
    <t>Puebla-DPSH Puebla</t>
  </si>
  <si>
    <t>2242</t>
  </si>
  <si>
    <t>021-302-00</t>
  </si>
  <si>
    <t>021_302_00_DPSH_Puebla</t>
  </si>
  <si>
    <t>DPSH Puebla</t>
  </si>
  <si>
    <t>Queretaro-DPSH Queretaro</t>
  </si>
  <si>
    <t>2254</t>
  </si>
  <si>
    <t>022-302-00</t>
  </si>
  <si>
    <t>022_302_00_DPSH_Queretaro</t>
  </si>
  <si>
    <t>DPSH Queretaro</t>
  </si>
  <si>
    <t>Canaveral No. 21 Esq. Los Morales Col. El Carrizal</t>
  </si>
  <si>
    <t>San Luis Potosi-DPSH San Luis Potosi</t>
  </si>
  <si>
    <t>2265</t>
  </si>
  <si>
    <t>024-302-00</t>
  </si>
  <si>
    <t>024_302_00_DPSH_San_Luis_Potosi</t>
  </si>
  <si>
    <t>DPSH San Luis Potosi</t>
  </si>
  <si>
    <t>Av. Venustiano Carranza No. 985 Col. Moderna</t>
  </si>
  <si>
    <t>Sonora-DPSH Sonora</t>
  </si>
  <si>
    <t>2292</t>
  </si>
  <si>
    <t>026-302-00</t>
  </si>
  <si>
    <t>026_302_00_DPSH_Sonora</t>
  </si>
  <si>
    <t>DPSH Sonora</t>
  </si>
  <si>
    <t>Comonfort SN Col. Villa de Series</t>
  </si>
  <si>
    <t>Tabasco-DPSH Tabasco</t>
  </si>
  <si>
    <t>2491</t>
  </si>
  <si>
    <t>027-302-00</t>
  </si>
  <si>
    <t>027_302_00_DPSH_Tabasco</t>
  </si>
  <si>
    <t>DPSH Tabasco</t>
  </si>
  <si>
    <t>Av. Gregorio Mendez Magana No. 722 Col. Centro</t>
  </si>
  <si>
    <t>Tlaxcala-DPSH Tlaxcala</t>
  </si>
  <si>
    <t>2499</t>
  </si>
  <si>
    <t>029-302-00</t>
  </si>
  <si>
    <t>029_302_00_DPSH_Tlaxcala</t>
  </si>
  <si>
    <t>DPSH Tlaxcala</t>
  </si>
  <si>
    <t>Veracruz-DPSH Veracruz</t>
  </si>
  <si>
    <t>2514</t>
  </si>
  <si>
    <t>030-302-00</t>
  </si>
  <si>
    <t>030_302_00_DPSH_Veracruz</t>
  </si>
  <si>
    <t>DPSH Veracruz</t>
  </si>
  <si>
    <t>Av. Xalapa No. 205 Col. Unidad del Bosque</t>
  </si>
  <si>
    <t>Aguascalientes-EBDI No 021 Aguascalientes</t>
  </si>
  <si>
    <t>2064</t>
  </si>
  <si>
    <t>001-304-01</t>
  </si>
  <si>
    <t>001_304_01_EBDI_No_021_Aguascalientes</t>
  </si>
  <si>
    <t>EBDI</t>
  </si>
  <si>
    <t>EBDI No 021 Aguascalientes</t>
  </si>
  <si>
    <t>Ignacio T. Chavez No. 1610 Col. Santa Elena</t>
  </si>
  <si>
    <t>Baja California-EBDI No 034 Mexicali</t>
  </si>
  <si>
    <t>2319</t>
  </si>
  <si>
    <t>002-304-01</t>
  </si>
  <si>
    <t>002_304_01_EBDI_No_034_Mexicali</t>
  </si>
  <si>
    <t>EBDI No 034 Mexicali</t>
  </si>
  <si>
    <t>Av. Mecanicos No. 1520 Col. Industrial</t>
  </si>
  <si>
    <t>CDMX-EBDI No 053 C Tlalpan</t>
  </si>
  <si>
    <t>093-304-39</t>
  </si>
  <si>
    <t>093_304_39_EBDI_No_053_C_Tlalpan</t>
  </si>
  <si>
    <t>EBDI No 053 C Tlalpan</t>
  </si>
  <si>
    <t>Baja California-EBDI No 059 Mexicali</t>
  </si>
  <si>
    <t>2328</t>
  </si>
  <si>
    <t>002-304-02</t>
  </si>
  <si>
    <t>002_304_02_EBDI_No_059_Mexicali</t>
  </si>
  <si>
    <t>EBDI No 059 Mexicali</t>
  </si>
  <si>
    <t>Padre Kino y Rio Culiacan SN Col. Pro Hogar</t>
  </si>
  <si>
    <t>Baja California-EBDI No 060 Ensenada</t>
  </si>
  <si>
    <t>2316</t>
  </si>
  <si>
    <t>002-304-03</t>
  </si>
  <si>
    <t>002_304_03_EBDI_No_060_Ensenada</t>
  </si>
  <si>
    <t>EBDI No 060 Ensenada</t>
  </si>
  <si>
    <t>Av. Club Activo 2030 No 249 Col. Buenaventura</t>
  </si>
  <si>
    <t>Baja California Sur-EBDI No 061 La Paz BCS</t>
  </si>
  <si>
    <t>2085</t>
  </si>
  <si>
    <t>003-304-01</t>
  </si>
  <si>
    <t>003_304_01_EBDI_No_061_La_Paz_BCS</t>
  </si>
  <si>
    <t>EBDI No 061 La Paz BCS</t>
  </si>
  <si>
    <t>Cjon. Las Virgenes Esq. con las Virgenes Col. 8 de Octubre</t>
  </si>
  <si>
    <t>Aguascalientes-EBDI No 092 Aguascalientes</t>
  </si>
  <si>
    <t>2065</t>
  </si>
  <si>
    <t>001-304-02</t>
  </si>
  <si>
    <t>001_304_02_EBDI_No_092_Aguascalientes</t>
  </si>
  <si>
    <t>EBDI No 092 Aguascalientes</t>
  </si>
  <si>
    <t>San Francisco de los Viveros No. 301 Col. Ojo Caliente 1</t>
  </si>
  <si>
    <t>CDMX-EBDI No 10 Ezequiel Montes</t>
  </si>
  <si>
    <t>2098</t>
  </si>
  <si>
    <t>091-304-09</t>
  </si>
  <si>
    <t>091_304_09_EBDI_No_10_Ezequiel_Montes</t>
  </si>
  <si>
    <t>EBDI No 10 Ezequiel Montes</t>
  </si>
  <si>
    <t>Ezequiel Montes No. 111 Col. Tabacalera</t>
  </si>
  <si>
    <t>06030</t>
  </si>
  <si>
    <t>Campeche-EBDI No 100 Campeche</t>
  </si>
  <si>
    <t>2330</t>
  </si>
  <si>
    <t>004-304-01</t>
  </si>
  <si>
    <t>004_304_01_EBDI_No_100_Campeche</t>
  </si>
  <si>
    <t>EBDI No 100 Campeche</t>
  </si>
  <si>
    <t>Av. Central SN Col. Santa Ana</t>
  </si>
  <si>
    <t>CDMX-EBDI No 101 SCT ISSSTE Contel</t>
  </si>
  <si>
    <t>2383</t>
  </si>
  <si>
    <t>092-304-44</t>
  </si>
  <si>
    <t>092_304_44_EBDI_No_101_SCT_ISSSTE_Contel</t>
  </si>
  <si>
    <t>EBDI No 101 SCT ISSSTE Contel</t>
  </si>
  <si>
    <t>Av. Telecomunicaciones SN Col. Urbano Ejidal</t>
  </si>
  <si>
    <t>Aguascalientes-EBDI No 102 Catra Aguascalientes</t>
  </si>
  <si>
    <t>2066</t>
  </si>
  <si>
    <t>001-304-03</t>
  </si>
  <si>
    <t>001_304_03_EBDI_No_102_Catra_Aguascalientes</t>
  </si>
  <si>
    <t>EBDI No 102 Catra Aguascalientes</t>
  </si>
  <si>
    <t>Av. Paseo de la Cruz No. 601 Col. Fracc. Habitacional Lazaro Cardenas</t>
  </si>
  <si>
    <t>Michoacan-EBDI No 104 Morelia</t>
  </si>
  <si>
    <t>2823</t>
  </si>
  <si>
    <t>016-304-01</t>
  </si>
  <si>
    <t>016_304_01_EBDI_No_104_Morelia</t>
  </si>
  <si>
    <t>EBDI No 104 Morelia</t>
  </si>
  <si>
    <t>Laguna de Parras No. 412 Col. Ventura Puente</t>
  </si>
  <si>
    <t>Baja California-EBDI No 105 Tijuana BC</t>
  </si>
  <si>
    <t>2073</t>
  </si>
  <si>
    <t>002-304-04</t>
  </si>
  <si>
    <t>002_304_04_EBDI_No_105_Tijuana_BC</t>
  </si>
  <si>
    <t>EBDI No 105 Tijuana BC</t>
  </si>
  <si>
    <t>Felipe Villanueva y Ricardo Castro SN Col. Nueva Tijuana</t>
  </si>
  <si>
    <t>Guerrero-EBDI No 106 Chilpancingo</t>
  </si>
  <si>
    <t>2655</t>
  </si>
  <si>
    <t>012-304-02</t>
  </si>
  <si>
    <t>012_304_02_EBDI_No_106_Chilpancingo</t>
  </si>
  <si>
    <t>EBDI No 106 Chilpancingo</t>
  </si>
  <si>
    <t>Av. de la Juventud SN Col. Burocrata</t>
  </si>
  <si>
    <t>CDMX-EBDI No 107 Fuentes Brotantes</t>
  </si>
  <si>
    <t>2430</t>
  </si>
  <si>
    <t>093-304-06</t>
  </si>
  <si>
    <t>093_304_06_EBDI_No_107_Fuentes_Brotantes</t>
  </si>
  <si>
    <t>EBDI No 107 Fuentes Brotantes</t>
  </si>
  <si>
    <t>Sor Juana Ines de la Cruz No. 89 Col. Hidalgo</t>
  </si>
  <si>
    <t>Durango-EBDI No 109 Gomez Palacio</t>
  </si>
  <si>
    <t>2164</t>
  </si>
  <si>
    <t>010-304-03</t>
  </si>
  <si>
    <t>010_304_03_EBDI_No_109_Gomez_Palacio</t>
  </si>
  <si>
    <t>EBDI No 109 Gomez Palacio</t>
  </si>
  <si>
    <t>CDMX-EBDI No 11 Manuel Gonzalez</t>
  </si>
  <si>
    <t>2352</t>
  </si>
  <si>
    <t>091-304-10</t>
  </si>
  <si>
    <t>091_304_10_EBDI_No_11_Manuel_Gonzalez</t>
  </si>
  <si>
    <t>EBDI No 11 Manuel Gonzalez</t>
  </si>
  <si>
    <t>Av. Manuel Gonzalez No. 430 Col. Nonoalco Tlatelolco</t>
  </si>
  <si>
    <t>Baja California Sur-EBDI No 110</t>
  </si>
  <si>
    <t>2896</t>
  </si>
  <si>
    <t>003-304-02</t>
  </si>
  <si>
    <t>003_304_02_EBDI_No_110</t>
  </si>
  <si>
    <t>EBDI No 110</t>
  </si>
  <si>
    <t>Tonatiuh y Altamirano No. 513 Col. Puesta del Sol</t>
  </si>
  <si>
    <t>Guanajuato-EBDI No 112 Leon</t>
  </si>
  <si>
    <t>2187</t>
  </si>
  <si>
    <t>011-304-04</t>
  </si>
  <si>
    <t>011_304_04_EBDI_No_112_Leon</t>
  </si>
  <si>
    <t>EBDI No 112 Leon</t>
  </si>
  <si>
    <t>Cuitlahuac Esq. Cholula Col. Azteca</t>
  </si>
  <si>
    <t>Leon</t>
  </si>
  <si>
    <t>Tabasco-EBDI No 113 Villahermosa</t>
  </si>
  <si>
    <t>2485</t>
  </si>
  <si>
    <t>027-304-01</t>
  </si>
  <si>
    <t>027_304_01_EBDI_No_113_Villahermosa</t>
  </si>
  <si>
    <t>EBDI No 113 Villahermosa</t>
  </si>
  <si>
    <t>Andres Garcia No. 504 Col. 1ro. de Mayo</t>
  </si>
  <si>
    <t>Tamaulipas-EBDI No 114 Nuevo Laredo</t>
  </si>
  <si>
    <t>2496</t>
  </si>
  <si>
    <t>028-304-03</t>
  </si>
  <si>
    <t>028_304_03_EBDI_No_114_Nuevo_Laredo</t>
  </si>
  <si>
    <t>EBDI No 114 Nuevo Laredo</t>
  </si>
  <si>
    <t>Reynosa No. 1801 Col. Ferrocarril</t>
  </si>
  <si>
    <t>Michoacan-EBDI No 115 Lazaro Cardenas</t>
  </si>
  <si>
    <t>2558</t>
  </si>
  <si>
    <t>016-304-02</t>
  </si>
  <si>
    <t>016_304_02_EBDI_No_115_Lazaro_Cardenas</t>
  </si>
  <si>
    <t>EBDI No 115 Lazaro Cardenas</t>
  </si>
  <si>
    <t>Av. Miguel Silva No. 8 Col. Nuevo Orizonte</t>
  </si>
  <si>
    <t>Cotija de la Paz</t>
  </si>
  <si>
    <t>CDMX-EBDI No 12 Ricardo Flores Magon y Lerdo</t>
  </si>
  <si>
    <t>2366</t>
  </si>
  <si>
    <t>091-304-11</t>
  </si>
  <si>
    <t>091_304_11_EBDI_No_12_Ricardo_Flores_Magon_y_Lerdo</t>
  </si>
  <si>
    <t>EBDI No 12 Ricardo Flores Magon y Lerdo</t>
  </si>
  <si>
    <t>Lerdo y Ricardo Flores Magon SN Col. Guerrero</t>
  </si>
  <si>
    <t>Sonora-EBDI No 120 Hermosillo</t>
  </si>
  <si>
    <t>2289</t>
  </si>
  <si>
    <t>026-304-05</t>
  </si>
  <si>
    <t>026_304_05_EBDI_No_120_Hermosillo</t>
  </si>
  <si>
    <t>EBDI No 120 Hermosillo</t>
  </si>
  <si>
    <t>Av. Naranjo No. 35 Col. San Benito</t>
  </si>
  <si>
    <t>Coahuila-EBDI No 121 Torreon Coah</t>
  </si>
  <si>
    <t>2086</t>
  </si>
  <si>
    <t>005-304-03</t>
  </si>
  <si>
    <t>005_304_03_EBDI_No_121_Torreon_Coah</t>
  </si>
  <si>
    <t>EBDI No 121 Torreon Coah</t>
  </si>
  <si>
    <t>Mar Esq. Turin Col. Torreon Residencial</t>
  </si>
  <si>
    <t>Colima-EBDI No 122 Manzanillo</t>
  </si>
  <si>
    <t>3428</t>
  </si>
  <si>
    <t>006-304-02</t>
  </si>
  <si>
    <t>006_304_02_EBDI_No_122_Manzanillo</t>
  </si>
  <si>
    <t>EBDI No 122 Manzanillo</t>
  </si>
  <si>
    <t>Av. Parotas SN Col. Valle de Las Huertas</t>
  </si>
  <si>
    <t>CDMX-EBDI No 125 Pantitlan</t>
  </si>
  <si>
    <t>2382</t>
  </si>
  <si>
    <t>092-304-02</t>
  </si>
  <si>
    <t>092_304_02_EBDI_No_125_Pantitlan</t>
  </si>
  <si>
    <t>EBDI No 125 Pantitlan</t>
  </si>
  <si>
    <t>Angel de la Independiencia No. 163. Col. Metropolitana 2a. Seccion</t>
  </si>
  <si>
    <t>Chiapas-EBDI No 128 Tapachula Chiapas</t>
  </si>
  <si>
    <t>2959</t>
  </si>
  <si>
    <t>007-304-02</t>
  </si>
  <si>
    <t>007_304_02_EBDI_No_128_Tapachula_Chiapas</t>
  </si>
  <si>
    <t>EBDI No 128 Tapachula Chiapas</t>
  </si>
  <si>
    <t>2da Av. Norte Primero 37 entre 5 y 7Ma Poniente Col. Centro</t>
  </si>
  <si>
    <t>Guanajuato-EBDI No 129 Irapuato</t>
  </si>
  <si>
    <t>2188</t>
  </si>
  <si>
    <t>011-304-05</t>
  </si>
  <si>
    <t>011_304_05_EBDI_No_129_Irapuato</t>
  </si>
  <si>
    <t>EBDI No 129 Irapuato</t>
  </si>
  <si>
    <t>Almendro No. 852 Col. Flores Magon Sur</t>
  </si>
  <si>
    <t>Guanajuato-EBDI No 13 Guanajuato</t>
  </si>
  <si>
    <t>2836</t>
  </si>
  <si>
    <t>011-304-01</t>
  </si>
  <si>
    <t>011_304_01_EBDI_No_13_Guanajuato</t>
  </si>
  <si>
    <t>UPE</t>
  </si>
  <si>
    <t>EBDI No 13 Guanajuato</t>
  </si>
  <si>
    <t>Paseo de la Presa No. 58 B Col. Paseo de la Presa</t>
  </si>
  <si>
    <t>Tamaulipas-EBDI No 130 Matamoros</t>
  </si>
  <si>
    <t>2301</t>
  </si>
  <si>
    <t>028-304-05</t>
  </si>
  <si>
    <t>028_304_05_EBDI_No_130_Matamoros</t>
  </si>
  <si>
    <t>EBDI No 130 Matamoros</t>
  </si>
  <si>
    <t>Av. del Nino y Carmen Serdan Col. Fracc. Infonavit</t>
  </si>
  <si>
    <t>Sonora-EBDI No 131 Navojoa</t>
  </si>
  <si>
    <t>2290</t>
  </si>
  <si>
    <t>026-304-06</t>
  </si>
  <si>
    <t>026_304_06_EBDI_No_131_Navojoa</t>
  </si>
  <si>
    <t>EBDI No 131 Navojoa</t>
  </si>
  <si>
    <t>Pino Suarez Sn Col. Rosales</t>
  </si>
  <si>
    <t>Morelos-EBDI No 132 Cuautla</t>
  </si>
  <si>
    <t>2687</t>
  </si>
  <si>
    <t>017-304-03</t>
  </si>
  <si>
    <t>017_304_03_EBDI_No_132_Cuautla</t>
  </si>
  <si>
    <t>EBDI No 132 Cuautla</t>
  </si>
  <si>
    <t>Baluarte No. 80 Col. Centro</t>
  </si>
  <si>
    <t>Zacatecas-EBDI No 134 Fresnillo</t>
  </si>
  <si>
    <t>2805</t>
  </si>
  <si>
    <t>032-304-02</t>
  </si>
  <si>
    <t>032_304_02_EBDI_No_134_Fresnillo</t>
  </si>
  <si>
    <t>EBDI No 134 Fresnillo</t>
  </si>
  <si>
    <t>Av. Revolu Cion 112 Col. Magisterial</t>
  </si>
  <si>
    <t>CDMX-EBDI No 135 B Emiliano Zapata</t>
  </si>
  <si>
    <t>2408</t>
  </si>
  <si>
    <t>094-304-45</t>
  </si>
  <si>
    <t>094_304_45_EBDI_No_135_B_Emiliano_Zapata</t>
  </si>
  <si>
    <t>EBDI No 135 B Emiliano Zapata</t>
  </si>
  <si>
    <t>Emiliano Zapata No. 12 Col. San Jeronimo Aculco</t>
  </si>
  <si>
    <t>Magdalena Contreras</t>
  </si>
  <si>
    <t>CDMX-EBDI No 14 Av San Fernando</t>
  </si>
  <si>
    <t>2134</t>
  </si>
  <si>
    <t>093-304-12</t>
  </si>
  <si>
    <t>093_304_12_EBDI_No_14_Av_San_Fernando</t>
  </si>
  <si>
    <t>EBDI No 14 Av San Fernando</t>
  </si>
  <si>
    <t>San Fernando No. 543 Col. Barrio de San Fernando</t>
  </si>
  <si>
    <t>CDMX-EBDI No 141 Pantitlan</t>
  </si>
  <si>
    <t>2379</t>
  </si>
  <si>
    <t>092-304-03</t>
  </si>
  <si>
    <t>092_304_03_EBDI_No_141_Pantitlan</t>
  </si>
  <si>
    <t>EBDI No 141 Pantitlan</t>
  </si>
  <si>
    <t>Tonatico 225 Col. Las Fuentes</t>
  </si>
  <si>
    <t>Chiapas-EBDI No 142 B</t>
  </si>
  <si>
    <t>007-304-03</t>
  </si>
  <si>
    <t>007_304_03_EBDI_No_142_B</t>
  </si>
  <si>
    <t>EBDI No 142 B</t>
  </si>
  <si>
    <t>17 Poniente y 5 Norte Col Rinconada del Sol</t>
  </si>
  <si>
    <t>Sinaloa-EBDI No 149 Culiacan</t>
  </si>
  <si>
    <t>2271</t>
  </si>
  <si>
    <t>025-304-04</t>
  </si>
  <si>
    <t>025_304_04_EBDI_No_149_Culiacan</t>
  </si>
  <si>
    <t>EBDI No 149 Culiacan</t>
  </si>
  <si>
    <t>Ramon Velarde SN Col. Bachilaguato</t>
  </si>
  <si>
    <t>CDMX-EBDI No 15 IPN y Colector</t>
  </si>
  <si>
    <t>2378</t>
  </si>
  <si>
    <t>091-304-13</t>
  </si>
  <si>
    <t>091_304_13_EBDI_No_15_IPN_y_Colector</t>
  </si>
  <si>
    <t>EBDI No 15 IPN y Colector</t>
  </si>
  <si>
    <t>Colector No. 13 Col. Magdalena de Las Salinas</t>
  </si>
  <si>
    <t>07760</t>
  </si>
  <si>
    <t>CDMX-EBDI No 151 SHCP ISSSTE Obrera</t>
  </si>
  <si>
    <t>2356</t>
  </si>
  <si>
    <t>091-304-07</t>
  </si>
  <si>
    <t>091_304_07_EBDI_No_151_SHCP_ISSSTE_Obrera</t>
  </si>
  <si>
    <t>EBDI No 151 SHCP ISSSTE Obrera</t>
  </si>
  <si>
    <t>Lucas Aleman No. 178 Col. Obrera</t>
  </si>
  <si>
    <t>06800</t>
  </si>
  <si>
    <t>CDMX-EBDI No 152 SHCP ISSSTE Ramon Prida</t>
  </si>
  <si>
    <t>2380</t>
  </si>
  <si>
    <t>092-304-01</t>
  </si>
  <si>
    <t>092_304_01_EBDI_No_152_SHCP_ISSSTE_Ramon_Prida</t>
  </si>
  <si>
    <t>EBDI No 152 SHCP ISSSTE Ramon Prida</t>
  </si>
  <si>
    <t>Ramon Prada No. 41 Col. Alvaro Obregon</t>
  </si>
  <si>
    <t>CDMX-EBDI No 153 SHCP ISSSTE El Reloj Tlalpan</t>
  </si>
  <si>
    <t>2133</t>
  </si>
  <si>
    <t>093-304-11</t>
  </si>
  <si>
    <t>093_304_11_EBDI_No_153_SHCP_ISSSTE_El_Reloj_Tlalpan</t>
  </si>
  <si>
    <t>EBDI No 153 SHCP ISSSTE El Reloj Tlalpan</t>
  </si>
  <si>
    <t>Calz. de Tlalpan No. 2775 Col. El Reloj</t>
  </si>
  <si>
    <t>04640</t>
  </si>
  <si>
    <t>CDMX-EBDI No 154 SHCP ISSSTE Bosque Residencial</t>
  </si>
  <si>
    <t>2427</t>
  </si>
  <si>
    <t>093-304-15</t>
  </si>
  <si>
    <t>093_304_15_EBDI_No_154_SHCP_ISSSTE_Bosque_Residencial</t>
  </si>
  <si>
    <t>EBDI No 154 SHCP ISSSTE Bosque Residencial</t>
  </si>
  <si>
    <t>Camino A San Lorenzo No. 252 Col. Bosques Residenciales del Sur</t>
  </si>
  <si>
    <t>CDMX-EBDI No 155 SHCP ISSSTE Irrigacion</t>
  </si>
  <si>
    <t>2112</t>
  </si>
  <si>
    <t>094-304-02</t>
  </si>
  <si>
    <t>094_304_02_EBDI_No_155_SHCP_ISSSTE_Irrigacion</t>
  </si>
  <si>
    <t>EBDI No 155 SHCP ISSSTE Irrigacion</t>
  </si>
  <si>
    <t>Calz. Legaria No. 662 A Col. Irrigacion</t>
  </si>
  <si>
    <t>CDMX-EBDI No 156 SECTUR ISSSTE Polanco</t>
  </si>
  <si>
    <t>2117</t>
  </si>
  <si>
    <t>094-304-03</t>
  </si>
  <si>
    <t>094_304_03_EBDI_No_156_SECTUR_ISSSTE_Polanco</t>
  </si>
  <si>
    <t>EBDI No 156 SECTUR ISSSTE Polanco</t>
  </si>
  <si>
    <t>Aristoteles No. 135 Col. Reforma Polanco</t>
  </si>
  <si>
    <t>CDMX-EBDI No 157 SEMIP ISSSTE del Valle</t>
  </si>
  <si>
    <t>2137</t>
  </si>
  <si>
    <t>093-304-18</t>
  </si>
  <si>
    <t>093_304_18_EBDI_No_157_SEMIP_ISSSTE_del_Valle</t>
  </si>
  <si>
    <t>EBDI No 157 SEMIP ISSSTE del Valle</t>
  </si>
  <si>
    <t>Mier y Pesado No. 20 Col. del Valle</t>
  </si>
  <si>
    <t>CDMX-EBDI No 16 Av de los Maestros y Carpio</t>
  </si>
  <si>
    <t>2407</t>
  </si>
  <si>
    <t>094-304-14</t>
  </si>
  <si>
    <t>094_304_14_EBDI_No_16_Av_de_los_Maestros_y_Carpio</t>
  </si>
  <si>
    <t>EBDI No 16 Av de los Maestros y Carpio</t>
  </si>
  <si>
    <t>Av. de los Maestros No. 300 Col. Agricultura</t>
  </si>
  <si>
    <t>Jalisco-EBDI No 17 Guadalajara</t>
  </si>
  <si>
    <t>2205</t>
  </si>
  <si>
    <t>014-304-01</t>
  </si>
  <si>
    <t>014_304_01_EBDI_No_17_Guadalajara</t>
  </si>
  <si>
    <t>EBDI No 17 Guadalajara</t>
  </si>
  <si>
    <t>Av. Lerdo de Tejada No. 2203 Col. Americana</t>
  </si>
  <si>
    <t>Nuevo Leon-EBDI No 18 Monterrey</t>
  </si>
  <si>
    <t>2465</t>
  </si>
  <si>
    <t>019-304-01</t>
  </si>
  <si>
    <t>019_304_01_EBDI_No_18_Monterrey</t>
  </si>
  <si>
    <t>EBDI No 18 Monterrey</t>
  </si>
  <si>
    <t>10 No. 2614 Col. Burocratas Federales</t>
  </si>
  <si>
    <t>Puebla-EBDI No 184 Tehuacan</t>
  </si>
  <si>
    <t>3240</t>
  </si>
  <si>
    <t>021-304-02</t>
  </si>
  <si>
    <t>021_304_02_EBDI_No_184_Tehuacan</t>
  </si>
  <si>
    <t>EBDI No 184 Tehuacan</t>
  </si>
  <si>
    <t>10 Poniente y 4 Norte SN Col. Fracc. Jacarandas</t>
  </si>
  <si>
    <t>Nuevo Leon-EBDI No 19 Monterrey</t>
  </si>
  <si>
    <t>2046</t>
  </si>
  <si>
    <t>019-304-02</t>
  </si>
  <si>
    <t>019_304_02_EBDI_No_19_Monterrey</t>
  </si>
  <si>
    <t>EBDI No 19 Monterrey</t>
  </si>
  <si>
    <t>Picachos No. 805 Av. Hidalgo y Av. Constitucion Col. Obispado</t>
  </si>
  <si>
    <t>CDMX-EBDI No 2 Coyoacan</t>
  </si>
  <si>
    <t>2424</t>
  </si>
  <si>
    <t>093-304-02</t>
  </si>
  <si>
    <t>093_304_02_EBDI_No_2_Coyoacan</t>
  </si>
  <si>
    <t>EBDI No 2 Coyoacan</t>
  </si>
  <si>
    <t>Av. Coyoacan SN Anexo Col. del Valle</t>
  </si>
  <si>
    <t>Oaxaca-EBDI No 22 Oaxaca</t>
  </si>
  <si>
    <t>2561</t>
  </si>
  <si>
    <t>020-304-01</t>
  </si>
  <si>
    <t>020_304_01_EBDI_No_22_Oaxaca</t>
  </si>
  <si>
    <t>EBDI No 22 Oaxaca</t>
  </si>
  <si>
    <t>Proletariado Mexicano No. 100 Esq. Martires de Cananea Col. Infonavit 1ro. de Mayo</t>
  </si>
  <si>
    <t>Zacatecas-EBDI No 23 Guadalupe</t>
  </si>
  <si>
    <t>2785</t>
  </si>
  <si>
    <t>032-304-01</t>
  </si>
  <si>
    <t>032_304_01_EBDI_No_23_Guadalupe</t>
  </si>
  <si>
    <t>EBDI No 23 Guadalupe</t>
  </si>
  <si>
    <t>Carr. A Cd. Cuahutemoc Km. 0.4 Col. Industrial</t>
  </si>
  <si>
    <t>CDMX-EBDI No 24 Anexo Instituto Nacional de Cardiologia</t>
  </si>
  <si>
    <t>2429</t>
  </si>
  <si>
    <t>093-304-17</t>
  </si>
  <si>
    <t>093_304_17_EBDI_No_24_Anexo_Instituto_Nacional_de_Cardiologia</t>
  </si>
  <si>
    <t>EBDI No 24 Anexo Instituto Nacional de Cardiologia</t>
  </si>
  <si>
    <t>Ing. Amilcar Vidal SN Col. Seccion XVI</t>
  </si>
  <si>
    <t>CDMX-EBDI No 25 ImpIssste Eje Central</t>
  </si>
  <si>
    <t>2099</t>
  </si>
  <si>
    <t>091-304-18</t>
  </si>
  <si>
    <t>091_304_18_EBDI_No_25_ImpIssste_Eje_Central</t>
  </si>
  <si>
    <t>EBDI No 25 ImpIssste Eje Central</t>
  </si>
  <si>
    <t>Poniente 134 SN Col. San Bartolo Atepehuacan</t>
  </si>
  <si>
    <t>07730</t>
  </si>
  <si>
    <t>CDMX-EBDI No 26 Cuicuilco Instituto Nacional de Pediatria</t>
  </si>
  <si>
    <t>2138</t>
  </si>
  <si>
    <t>093-304-19</t>
  </si>
  <si>
    <t>093_304_19_EBDI_No_26_Cuicuilco_Instituto_Nacional_de_Pediatria</t>
  </si>
  <si>
    <t>EBDI No 26 Cuicuilco Instituto Nacional de Pediatria</t>
  </si>
  <si>
    <t>Av. Insurgentes Sur No. 3700 Col. Cucuilco</t>
  </si>
  <si>
    <t>04530</t>
  </si>
  <si>
    <t>CDMX-EBDI No 27 INP Montes Urales</t>
  </si>
  <si>
    <t>2114</t>
  </si>
  <si>
    <t>094-304-20</t>
  </si>
  <si>
    <t>094_304_20_EBDI_No_27_INP_Montes_Urales</t>
  </si>
  <si>
    <t>EBDI No 27 INP Montes Urales</t>
  </si>
  <si>
    <t>Montes Urales No. 800 Col. Lomas de Virreyes</t>
  </si>
  <si>
    <t>Morelos-EBDI No 28 Cuernavaca</t>
  </si>
  <si>
    <t>2216</t>
  </si>
  <si>
    <t>017-304-01</t>
  </si>
  <si>
    <t>017_304_01_EBDI_No_28_Cuernavaca</t>
  </si>
  <si>
    <t>EBDI No 28 Cuernavaca</t>
  </si>
  <si>
    <t>Hermenegildo Galeana No. 40 Col. Centro</t>
  </si>
  <si>
    <t>CDMX-EBDI No 3 Multf Juarez</t>
  </si>
  <si>
    <t>2350</t>
  </si>
  <si>
    <t>091-304-03</t>
  </si>
  <si>
    <t>091_304_03_EBDI_No_3_Multf_Juarez</t>
  </si>
  <si>
    <t>EBDI No 3 Multf Juarez</t>
  </si>
  <si>
    <t>Antonio M. Anza No. 24 Col. Roma Sur</t>
  </si>
  <si>
    <t>Jalisco-EBDI No 30 Guadalajara</t>
  </si>
  <si>
    <t>2203</t>
  </si>
  <si>
    <t>014-304-02</t>
  </si>
  <si>
    <t>014_304_02_EBDI_No_30_Guadalajara</t>
  </si>
  <si>
    <t>EBDI No 30 Guadalajara</t>
  </si>
  <si>
    <t>Lopez Cotilla No. 1402 Col. Americana</t>
  </si>
  <si>
    <t>Tlaxcala-EBDI No 31 Tlaxcala</t>
  </si>
  <si>
    <t>2506</t>
  </si>
  <si>
    <t>029-304-01</t>
  </si>
  <si>
    <t>029_304_01_EBDI_No_31_Tlaxcala</t>
  </si>
  <si>
    <t>EBDI No 31 Tlaxcala</t>
  </si>
  <si>
    <t>Sauce y Corredor Bugambilia SN Col. Sabinal</t>
  </si>
  <si>
    <t>Chihuahua-EBDI No 32 Cd Juarez</t>
  </si>
  <si>
    <t>2337</t>
  </si>
  <si>
    <t>008-304-01</t>
  </si>
  <si>
    <t>008_304_01_EBDI_No_32_Cd_Juarez</t>
  </si>
  <si>
    <t>EBDI No 32 Cd Juarez</t>
  </si>
  <si>
    <t>Av. de Las Americas No. 1457 Col. Margarita</t>
  </si>
  <si>
    <t>Sinaloa-EBDI No 33 Culiacan</t>
  </si>
  <si>
    <t>2273</t>
  </si>
  <si>
    <t>025-304-01</t>
  </si>
  <si>
    <t>025_304_01_EBDI_No_33_Culiacan</t>
  </si>
  <si>
    <t>EBDI No 33 Culiacan</t>
  </si>
  <si>
    <t>Calz. de Las Ciudades Hermanas SN Col. 5 de Mayo</t>
  </si>
  <si>
    <t>Durango-EBDI No 35 Durango</t>
  </si>
  <si>
    <t>2162</t>
  </si>
  <si>
    <t>010-304-01</t>
  </si>
  <si>
    <t>010_304_01_EBDI_No_35_Durango</t>
  </si>
  <si>
    <t>EBDI No 35 Durango</t>
  </si>
  <si>
    <t>C. Fco. Gonzalez de la Vega SN, Col. Insurgentes</t>
  </si>
  <si>
    <t>San Luis Potosi-EBDI No 36 San Luis Potosi</t>
  </si>
  <si>
    <t>2264</t>
  </si>
  <si>
    <t>024-304-01</t>
  </si>
  <si>
    <t>024_304_01_EBDI_No_36_San_Luis_Potosi</t>
  </si>
  <si>
    <t>EBDI No 36 San Luis Potosi</t>
  </si>
  <si>
    <t>J. Santos Chocano No. 139 Col. Issste</t>
  </si>
  <si>
    <t>Chiapas-EBDI No 37 Tuxtla Gutierrez</t>
  </si>
  <si>
    <t>2933</t>
  </si>
  <si>
    <t>007-304-01</t>
  </si>
  <si>
    <t>007_304_01_EBDI_No_37_Tuxtla_Gutierrez</t>
  </si>
  <si>
    <t>EBDI No 37 Tuxtla Gutierrez</t>
  </si>
  <si>
    <t>1ra Av. Norte Poniente 1586 Col. Moctezuma</t>
  </si>
  <si>
    <t>Yucatan-EBDI No 38 Merida</t>
  </si>
  <si>
    <t>2526</t>
  </si>
  <si>
    <t>031-304-01</t>
  </si>
  <si>
    <t>031_304_01_EBDI_No_38_Merida</t>
  </si>
  <si>
    <t>EBDI No 38 Merida</t>
  </si>
  <si>
    <t>61 No. 537 Col. Centro</t>
  </si>
  <si>
    <t>CDMX-EBDI No 40 SS ISSSTE Bulgaria</t>
  </si>
  <si>
    <t>2420</t>
  </si>
  <si>
    <t>093-304-25</t>
  </si>
  <si>
    <t>093_304_25_EBDI_No_40_SS_ISSSTE_Bulgaria</t>
  </si>
  <si>
    <t>EBDI No 40 SS ISSSTE Bulgaria</t>
  </si>
  <si>
    <t>Bulgaria No. 32 Col. Portales</t>
  </si>
  <si>
    <t>03300</t>
  </si>
  <si>
    <t>CDMX-EBDI No 41 SS ISSSTE Av de Los Maestros</t>
  </si>
  <si>
    <t>2400</t>
  </si>
  <si>
    <t>094-304-26</t>
  </si>
  <si>
    <t>094_304_26_EBDI_No_41_SS_ISSSTE_Av_de_Los_Maestros</t>
  </si>
  <si>
    <t>EBDI No 41 SS ISSSTE Av de Los Maestros</t>
  </si>
  <si>
    <t>Av. de Los Maestros No. 114 Col. Santo Tomas</t>
  </si>
  <si>
    <t>CDMX-EBDI No 42 SS ISSSTE Dr Velasco</t>
  </si>
  <si>
    <t>2100</t>
  </si>
  <si>
    <t>091-304-28</t>
  </si>
  <si>
    <t>091_304_28_EBDI_No_42_SS_ISSSTE_Dr_Velasco</t>
  </si>
  <si>
    <t>EBDI No 42 SS ISSSTE Dr Velasco</t>
  </si>
  <si>
    <t>Dr. Velasco No. 2 Col. Doctores</t>
  </si>
  <si>
    <t>CDMX-EBDI No 43 SS ISSSTE Morazan y S de Tiro</t>
  </si>
  <si>
    <t>2108</t>
  </si>
  <si>
    <t>092-304-29</t>
  </si>
  <si>
    <t>092_304_29_EBDI_No_43_SS_ISSSTE_Morazan_y_S_de_Tiro</t>
  </si>
  <si>
    <t>EBDI No 43 SS ISSSTE Morazan y S de Tiro</t>
  </si>
  <si>
    <t>Stand de Tiro SN Col. Merced Balbuena</t>
  </si>
  <si>
    <t>CDMX-EBDI No 44 SS ISSSTE Van Dick</t>
  </si>
  <si>
    <t>2143</t>
  </si>
  <si>
    <t>093-304-30</t>
  </si>
  <si>
    <t>093_304_30_EBDI_No_44_SS_ISSSTE_Van_Dick</t>
  </si>
  <si>
    <t>EBDI No 44 SS ISSSTE Van Dick</t>
  </si>
  <si>
    <t>Van Dick 44 Col. Nonoalco Mixcoac</t>
  </si>
  <si>
    <t>03700</t>
  </si>
  <si>
    <t>CDMX-EBDI No 45 SS ISSSTE Compas</t>
  </si>
  <si>
    <t>2398</t>
  </si>
  <si>
    <t>092-304-31</t>
  </si>
  <si>
    <t>092_304_31_EBDI_No_45_SS_ISSSTE_Compas</t>
  </si>
  <si>
    <t>EBDI No 45 SS ISSSTE Compas</t>
  </si>
  <si>
    <t>Compas No. 31. PB Col. Sevilla</t>
  </si>
  <si>
    <t>CDMX-EBDI No 46 SS ISSSTE Lago Cuitzeo</t>
  </si>
  <si>
    <t>2403</t>
  </si>
  <si>
    <t>094-304-32</t>
  </si>
  <si>
    <t>094_304_32_EBDI_No_46_SS_ISSSTE_Lago_Cuitzeo</t>
  </si>
  <si>
    <t>EBDI No 46 SS ISSSTE Lago Cuitzeo</t>
  </si>
  <si>
    <t>Lago Cuitzeo No. 200 Col. Anahuac</t>
  </si>
  <si>
    <t>Miuel Hidalgo</t>
  </si>
  <si>
    <t>CDMX-EBDI No 47 SS ISSSTE Dr Vertiz</t>
  </si>
  <si>
    <t>2421</t>
  </si>
  <si>
    <t>093-304-33</t>
  </si>
  <si>
    <t>093_304_33_EBDI_No_47_SS_ISSSTE_Dr_Vertiz</t>
  </si>
  <si>
    <t>EBDI No 47 SS ISSSTE Dr Vertiz</t>
  </si>
  <si>
    <t>Dr. Vertiz No. 1374 Col. Portales</t>
  </si>
  <si>
    <t>CDMX-EBDI No 48 SS ISSSTE Heroes</t>
  </si>
  <si>
    <t>2376</t>
  </si>
  <si>
    <t>091-304-34</t>
  </si>
  <si>
    <t>091_304_34_EBDI_No_48_SS_ISSSTE_Heroes</t>
  </si>
  <si>
    <t>EBDI No 48 SS ISSSTE Heroes</t>
  </si>
  <si>
    <t>Heroes No. 38 Col. Guerrero</t>
  </si>
  <si>
    <t>CDMX-EBDI No 50 SS ISSSTE Dr Garcia Diego</t>
  </si>
  <si>
    <t>2358</t>
  </si>
  <si>
    <t>091-304-36</t>
  </si>
  <si>
    <t>091_304_36_EBDI_No_50_SS_ISSSTE_Dr_Garcia_Diego</t>
  </si>
  <si>
    <t>EBDI No 50 SS ISSSTE Dr Garcia Diego</t>
  </si>
  <si>
    <t>Dr. Garcia Diego No. 93 Col. Doctores</t>
  </si>
  <si>
    <t>CDMX-EBDI No 54 SS ISSSTE Donizetty</t>
  </si>
  <si>
    <t>2101</t>
  </si>
  <si>
    <t>091-304-40</t>
  </si>
  <si>
    <t>091_304_40_EBDI_No_54_SS_ISSSTE_Donizetty</t>
  </si>
  <si>
    <t>EBDI No 54 SS ISSSTE Donizetty</t>
  </si>
  <si>
    <t>Donizzeti No. 104 Col. Vallejo</t>
  </si>
  <si>
    <t>07870</t>
  </si>
  <si>
    <t>CDMX-EBDI No 55 SS ISSSTE Joaquin A Perez</t>
  </si>
  <si>
    <t>2115</t>
  </si>
  <si>
    <t>094-304-42</t>
  </si>
  <si>
    <t>094_304_42_EBDI_No_55_SS_ISSSTE_Joaquin_A_Perez</t>
  </si>
  <si>
    <t>EBDI No 55 SS ISSSTE Joaquin A Perez</t>
  </si>
  <si>
    <t>Joaquin A. Perez No. 7 Col. San Miguel Chapultepec</t>
  </si>
  <si>
    <t>CDMX-EBDI No 56 Cedro</t>
  </si>
  <si>
    <t>2359</t>
  </si>
  <si>
    <t>091-304-43</t>
  </si>
  <si>
    <t>091_304_43_EBDI_No_56_Cedro</t>
  </si>
  <si>
    <t>EBDI No 56 Cedro</t>
  </si>
  <si>
    <t>Cedro No. 299 Col. Santa Maria la Rivera</t>
  </si>
  <si>
    <t>06040</t>
  </si>
  <si>
    <t>Morelos-EBDI No 57</t>
  </si>
  <si>
    <t>4578</t>
  </si>
  <si>
    <t>017-304-02</t>
  </si>
  <si>
    <t>017_304_02_EBDI_No_57</t>
  </si>
  <si>
    <t>EBDI No 57</t>
  </si>
  <si>
    <t>Calz. de los Reyes No. 24 Col. Tetela del Monte</t>
  </si>
  <si>
    <t>CDMX-EBDI No 6 Coruna y Sur 65A</t>
  </si>
  <si>
    <t>2109</t>
  </si>
  <si>
    <t>092-304-06</t>
  </si>
  <si>
    <t>092_304_06_EBDI_No_6_Coruna_y_Sur_65A</t>
  </si>
  <si>
    <t>EBDI No 6 Coruna y Sur 65A</t>
  </si>
  <si>
    <t>Sur 65 Esq. Coruna SN Col. Viaducto Piedad</t>
  </si>
  <si>
    <t>Iztacalco</t>
  </si>
  <si>
    <t>08200</t>
  </si>
  <si>
    <t>Coahuila-EBDI No 63 Monclova</t>
  </si>
  <si>
    <t>3001</t>
  </si>
  <si>
    <t>005-304-02</t>
  </si>
  <si>
    <t>005_304_02_EBDI_No_63_Monclova</t>
  </si>
  <si>
    <t>EBDI No 63 Monclova</t>
  </si>
  <si>
    <t>Dr. Ulises Avila No. 304 Col. La Palma</t>
  </si>
  <si>
    <t>Chihuahua-EBDI No 64 Chihuahua</t>
  </si>
  <si>
    <t>2343</t>
  </si>
  <si>
    <t>008-304-02</t>
  </si>
  <si>
    <t>008_304_02_EBDI_No_64_Chihuahua</t>
  </si>
  <si>
    <t>EBDI No 64 Chihuahua</t>
  </si>
  <si>
    <t>Division del Norte No. 3704 Col. Altavista</t>
  </si>
  <si>
    <t>Guanajuato-EBDI No 65 Celaya</t>
  </si>
  <si>
    <t>2458</t>
  </si>
  <si>
    <t>011-304-02</t>
  </si>
  <si>
    <t>011_304_02_EBDI_No_65_Celaya</t>
  </si>
  <si>
    <t>EBDI No 65 Celaya</t>
  </si>
  <si>
    <t>Av. Saus y Esmeralda SN Col. 2da. Seccion de San Juanico</t>
  </si>
  <si>
    <t>Oaxaca-EBDI No 66 SS ISSSTE Oaxaca</t>
  </si>
  <si>
    <t>2562</t>
  </si>
  <si>
    <t>020-304-02</t>
  </si>
  <si>
    <t>020_304_02_EBDI_No_66_SS_ISSSTE_Oaxaca</t>
  </si>
  <si>
    <t>EBDI No 66 SS ISSSTE Oaxaca</t>
  </si>
  <si>
    <t>Arteaga No. 101 Col. Centro</t>
  </si>
  <si>
    <t>Puebla-EBDI No 67 Puebla</t>
  </si>
  <si>
    <t>2246</t>
  </si>
  <si>
    <t>021-304-01</t>
  </si>
  <si>
    <t>021_304_01_EBDI_No_67_Puebla</t>
  </si>
  <si>
    <t>EBDI No 67 Puebla</t>
  </si>
  <si>
    <t>Av. 19 Oriente No. 410 Col. Centro</t>
  </si>
  <si>
    <t>Sonora-EBDI No 68 Hermosillo</t>
  </si>
  <si>
    <t>2287</t>
  </si>
  <si>
    <t>026-304-01</t>
  </si>
  <si>
    <t>026_304_01_EBDI_No_68_Hermosillo</t>
  </si>
  <si>
    <t>EBDI No 68 Hermosillo</t>
  </si>
  <si>
    <t>Gral. Pina No. 131 Col. San Benito</t>
  </si>
  <si>
    <t>Queretaro-EBDI No 69 Anagsaissste Queretaro</t>
  </si>
  <si>
    <t>2259</t>
  </si>
  <si>
    <t>022-304-01</t>
  </si>
  <si>
    <t>022_304_01_EBDI_No_69_Anagsaissste_Queretaro</t>
  </si>
  <si>
    <t>EBDI No 69 Anagsaissste Queretaro</t>
  </si>
  <si>
    <t>Ignacio Perez No. 171 Sur. Pb Col. Carrizal</t>
  </si>
  <si>
    <t>CDMX-EBDI No 7 Peluqueros</t>
  </si>
  <si>
    <t>2111</t>
  </si>
  <si>
    <t>092-304-07</t>
  </si>
  <si>
    <t>092_304_07_EBDI_No_7_Peluqueros</t>
  </si>
  <si>
    <t>EBDI No 7 Peluqueros</t>
  </si>
  <si>
    <t>Peluqueros 310 Col Michoacana Col. Michoacana</t>
  </si>
  <si>
    <t>Nayarit-EBDI No 70 SS ISSSTE Tepic</t>
  </si>
  <si>
    <t>2225</t>
  </si>
  <si>
    <t>018-304-01</t>
  </si>
  <si>
    <t>018_304_01_EBDI_No_70_SS_ISSSTE_Tepic</t>
  </si>
  <si>
    <t>EBDI No 70 SS ISSSTE Tepic</t>
  </si>
  <si>
    <t>Juan Escutia Oriente y Zaragoza SN Col. Centro</t>
  </si>
  <si>
    <t>Tamaulipas-EBDI No 71 Cd Victoria</t>
  </si>
  <si>
    <t>2761</t>
  </si>
  <si>
    <t>028-304-01</t>
  </si>
  <si>
    <t>028_304_01_EBDI_No_71_Cd_Victoria</t>
  </si>
  <si>
    <t>EBDI No 71 Cd Victoria</t>
  </si>
  <si>
    <t>14 Esq. Abasolo No. 308 Col. Centro</t>
  </si>
  <si>
    <t>Nayarit-EBDI No 72 Tepic</t>
  </si>
  <si>
    <t>2226</t>
  </si>
  <si>
    <t>018-304-02</t>
  </si>
  <si>
    <t>018_304_02_EBDI_No_72_Tepic</t>
  </si>
  <si>
    <t>EBDI No 72 Tepic</t>
  </si>
  <si>
    <t>Ures SN Col. San Antonio</t>
  </si>
  <si>
    <t>Veracruz-EBDI No 73</t>
  </si>
  <si>
    <t>2513</t>
  </si>
  <si>
    <t>030-304-01</t>
  </si>
  <si>
    <t>030_304_01_EBDI_No_73</t>
  </si>
  <si>
    <t>EBDI No 73</t>
  </si>
  <si>
    <t>Av. Salvador Diaz Miron SN Esq. Sayula Col. Fracc. Moderno</t>
  </si>
  <si>
    <t>Veracruz-EBDI No 74 Xalapa</t>
  </si>
  <si>
    <t>2517</t>
  </si>
  <si>
    <t>030-304-02</t>
  </si>
  <si>
    <t>030_304_02_EBDI_No_74_Xalapa</t>
  </si>
  <si>
    <t>EBDI No 74 Xalapa</t>
  </si>
  <si>
    <t>Simon Bolivar No. 66 Col. Adriana Huesca Castillo</t>
  </si>
  <si>
    <t>Hidalgo-EBDI No 75 Pachuca</t>
  </si>
  <si>
    <t>2841</t>
  </si>
  <si>
    <t>013-304-01</t>
  </si>
  <si>
    <t>013_304_01_EBDI_No_75_Pachuca</t>
  </si>
  <si>
    <t>EBDI No 75 Pachuca</t>
  </si>
  <si>
    <t>Blvd. Nuevo Hidalgo Citlalli Esq. Tlaloc Bosques de Alpino No. 509 A Col. Las Colonias</t>
  </si>
  <si>
    <t>Hidalgo-EBDI No 76 SS ISSSTE Pachuca  </t>
  </si>
  <si>
    <t>2842</t>
  </si>
  <si>
    <t>013-304-02</t>
  </si>
  <si>
    <t>013_304_02_EBDI_No_76_SS_ISSSTE_Pachuca  </t>
  </si>
  <si>
    <t>EBDI No 76 SS ISSSTE Pachuca  </t>
  </si>
  <si>
    <t>Av. Revolucion No. 904 A Col. Periodista</t>
  </si>
  <si>
    <t>Hidalgo-EBDI No 77 Huichapan</t>
  </si>
  <si>
    <t>2041</t>
  </si>
  <si>
    <t>013-304-03</t>
  </si>
  <si>
    <t>013_304_03_EBDI_No_77_Huichapan</t>
  </si>
  <si>
    <t>EBDI No 77 Huichapan</t>
  </si>
  <si>
    <t>Sanchez de la Barquera No. 9 Col. Barrio El Salvario</t>
  </si>
  <si>
    <t>Huichapan</t>
  </si>
  <si>
    <t>Sonora-EBDI No 78</t>
  </si>
  <si>
    <t>2482</t>
  </si>
  <si>
    <t>026-304-03</t>
  </si>
  <si>
    <t>026_304_03_EBDI_No_78</t>
  </si>
  <si>
    <t>EBDI No 78</t>
  </si>
  <si>
    <t>Sinaloa No. 544 Norte entre Mayo y Yaqui Col. Norte</t>
  </si>
  <si>
    <t>Obregon</t>
  </si>
  <si>
    <t>Sonora-EBDI No 79</t>
  </si>
  <si>
    <t>4517</t>
  </si>
  <si>
    <t>026-304-02</t>
  </si>
  <si>
    <t>026_304_02_EBDI_No_79</t>
  </si>
  <si>
    <t>EBDI No 79</t>
  </si>
  <si>
    <t>Reforma Col. del Rosario</t>
  </si>
  <si>
    <t>CDMX-EBDI No 8 Patricio Saenz</t>
  </si>
  <si>
    <t>2142</t>
  </si>
  <si>
    <t>093-304-14</t>
  </si>
  <si>
    <t>093_304_14_EBDI_No_8_Patricio_Saenz</t>
  </si>
  <si>
    <t>EBDI No 8 Patricio Saenz</t>
  </si>
  <si>
    <t>Av. Patricio Sanz No. 8 414 Col. del Valle</t>
  </si>
  <si>
    <t>Colima-EBDI No 80 Colima</t>
  </si>
  <si>
    <t>3427</t>
  </si>
  <si>
    <t>006-304-01</t>
  </si>
  <si>
    <t>006_304_01_EBDI_No_80_Colima</t>
  </si>
  <si>
    <t>EBDI No 80 Colima</t>
  </si>
  <si>
    <t>Calz. Galvan Norte 63 Col. Centro</t>
  </si>
  <si>
    <t>Durango-EBDI No 81 SS ISSSTE Durango</t>
  </si>
  <si>
    <t>2163</t>
  </si>
  <si>
    <t>010-304-02</t>
  </si>
  <si>
    <t>010_304_02_EBDI_No_81_SS_ISSSTE_Durango</t>
  </si>
  <si>
    <t>EBDI No 81 SS ISSSTE Durango</t>
  </si>
  <si>
    <t>Blvd. Armando del Castillo Franco SN, Col. Santa Maria</t>
  </si>
  <si>
    <t>Sinaloa-EBDI No 82 Mazatlan</t>
  </si>
  <si>
    <t>2274</t>
  </si>
  <si>
    <t>025-304-02</t>
  </si>
  <si>
    <t>025_304_02_EBDI_No_82_Mazatlan</t>
  </si>
  <si>
    <t>EBDI No 82 Mazatlan</t>
  </si>
  <si>
    <t>Av. Paseo Atlantico No. 4265 entre Delfin y Coto 12 Col. Fracc. Real del Valle</t>
  </si>
  <si>
    <t>CDMX-EBDI No 83</t>
  </si>
  <si>
    <t>2386</t>
  </si>
  <si>
    <t>092-304-21</t>
  </si>
  <si>
    <t>092_304_21_EBDI_No_83</t>
  </si>
  <si>
    <t>EBDI No 83</t>
  </si>
  <si>
    <t>Av. Telecomunicaciones SN. Esq. Enrique Contel Col. Ejercito Constitucionalista</t>
  </si>
  <si>
    <t>Queretaro-EBDI No 84 SS ISSSTE Queretaro</t>
  </si>
  <si>
    <t>2253</t>
  </si>
  <si>
    <t>022-304-02</t>
  </si>
  <si>
    <t>022_304_02_EBDI_No_84_SS_ISSSTE_Queretaro</t>
  </si>
  <si>
    <t>EBDI No 84 SS ISSSTE Queretaro</t>
  </si>
  <si>
    <t>Pino Suarez No. 100 Col. Centro</t>
  </si>
  <si>
    <t>Guanajuato-EBDI No 85 Dolores</t>
  </si>
  <si>
    <t>3890</t>
  </si>
  <si>
    <t>011-304-03</t>
  </si>
  <si>
    <t>011_304_03_EBDI_No_85_Dolores</t>
  </si>
  <si>
    <t>EBDI No 85 Dolores</t>
  </si>
  <si>
    <t>Campeche No. 6 Col. Centro</t>
  </si>
  <si>
    <t>Dolores Hidalgo</t>
  </si>
  <si>
    <t>Yucatan-EBDI No 86 Merida</t>
  </si>
  <si>
    <t>2524</t>
  </si>
  <si>
    <t>031-304-02</t>
  </si>
  <si>
    <t>031_304_02_EBDI_No_86_Merida</t>
  </si>
  <si>
    <t>EBDI No 86 Merida</t>
  </si>
  <si>
    <t>Av. Itzaes y Av. Jacinto Kanek SN Col. Centro</t>
  </si>
  <si>
    <t>Oaxaca-EBDI No 88 Tuxtepec</t>
  </si>
  <si>
    <t>2563</t>
  </si>
  <si>
    <t>020-304-04</t>
  </si>
  <si>
    <t>020_304_04_EBDI_No_88_Tuxtepec</t>
  </si>
  <si>
    <t>EBDI No 88 Tuxtepec</t>
  </si>
  <si>
    <t>Km. 1 Carr. A Cd. Aleman Col. Centro</t>
  </si>
  <si>
    <t>San Juan Bautista Tuxtepec</t>
  </si>
  <si>
    <t>Sonora-EBDI No 89</t>
  </si>
  <si>
    <t>4513</t>
  </si>
  <si>
    <t>026-304-04</t>
  </si>
  <si>
    <t>026_304_04_EBDI_No_89</t>
  </si>
  <si>
    <t>EBDI No 89</t>
  </si>
  <si>
    <t>Av. Serdan y 15 No. 15 Col. Centro</t>
  </si>
  <si>
    <t>Guerrero-EBDI No 9 Acapulco</t>
  </si>
  <si>
    <t>2658</t>
  </si>
  <si>
    <t>012-304-01</t>
  </si>
  <si>
    <t>012_304_01_EBDI_No_9_Acapulco</t>
  </si>
  <si>
    <t>EBDI No 9 Acapulco</t>
  </si>
  <si>
    <t>Av. Adolfo Ruiz Cortines No. 129 Col. Alta Progreso</t>
  </si>
  <si>
    <t>Sinaloa-EBDI No 90 Los Mochis</t>
  </si>
  <si>
    <t>2275</t>
  </si>
  <si>
    <t>025-304-03</t>
  </si>
  <si>
    <t>025_304_03_EBDI_No_90_Los_Mochis</t>
  </si>
  <si>
    <t>EBDI No 90 Los Mochis</t>
  </si>
  <si>
    <t>Carr. Ahome y H. Colegio Militar SN Col. Fovissste III</t>
  </si>
  <si>
    <t>Quintana Roo-EBDI No 91 Eloisa Grey Smith</t>
  </si>
  <si>
    <t>3892</t>
  </si>
  <si>
    <t>023-304-01</t>
  </si>
  <si>
    <t>023_304_01_EBDI_No_91_Eloisa_Grey_Smith</t>
  </si>
  <si>
    <t>EBDI No 91 Eloisa Grey Smith</t>
  </si>
  <si>
    <t>Av. Jose Maria Morelos No. 201 Esq. Cristobal Colon Col. Centro</t>
  </si>
  <si>
    <t>Oaxaca-EBDI No 93 Huajapan de Leon</t>
  </si>
  <si>
    <t>2564</t>
  </si>
  <si>
    <t>020-304-03</t>
  </si>
  <si>
    <t>020_304_03_EBDI_No_93_Huajapan_de_Leon</t>
  </si>
  <si>
    <t>EBDI No 93 Huajapan de Leon</t>
  </si>
  <si>
    <t>Sonora No. 4 Col. Santa Rosa</t>
  </si>
  <si>
    <t>Tamaulipas-EBDI No 94 Cd Reynosa</t>
  </si>
  <si>
    <t>2495</t>
  </si>
  <si>
    <t>028-304-02</t>
  </si>
  <si>
    <t>028_304_02_EBDI_No_94_Cd_Reynosa</t>
  </si>
  <si>
    <t>EBDI No 94 Cd Reynosa</t>
  </si>
  <si>
    <t>Pedro Hugo Gonzalez. No. 1020 Col. Altamira</t>
  </si>
  <si>
    <t>CDMX-EBDI No 95 Zarco</t>
  </si>
  <si>
    <t>2097</t>
  </si>
  <si>
    <t>091-304-02</t>
  </si>
  <si>
    <t>091_304_02_EBDI_No_95_Zarco</t>
  </si>
  <si>
    <t>EBDI No 95 Zarco</t>
  </si>
  <si>
    <t>Zarco No. 47 Col. Guerrero</t>
  </si>
  <si>
    <t>CDMX-EBDI No 96 SCT ISSSTE Centro Scop</t>
  </si>
  <si>
    <t>2145</t>
  </si>
  <si>
    <t>093-304-01</t>
  </si>
  <si>
    <t>093_304_01_EBDI_No_96_SCT_ISSSTE_Centro_Scop</t>
  </si>
  <si>
    <t>EBDI No 96 SCT ISSSTE Centro Scop</t>
  </si>
  <si>
    <t>Av. Universidad SN Col. Narvarte</t>
  </si>
  <si>
    <t>CDMX-EBDI No 97 SCT ISSSTE E Central y Morena</t>
  </si>
  <si>
    <t>2146</t>
  </si>
  <si>
    <t>093-304-03</t>
  </si>
  <si>
    <t>093_304_03_EBDI_No_97_SCT_ISSSTE_E_Central_y_Morena</t>
  </si>
  <si>
    <t>EBDI No 97 SCT ISSSTE E Central y Morena</t>
  </si>
  <si>
    <t>Morena No. 1534 Col. Narvarte</t>
  </si>
  <si>
    <t>CDMX-EBDI No 98 SCT ISSSTE Las Bombas</t>
  </si>
  <si>
    <t>2413</t>
  </si>
  <si>
    <t>093-304-05</t>
  </si>
  <si>
    <t>093_304_05_EBDI_No_98_SCT_ISSSTE_Las_Bombas</t>
  </si>
  <si>
    <t>EBDI No 98 SCT ISSSTE Las Bombas</t>
  </si>
  <si>
    <t>Calz. de las Bombas 421 Col. Campestre Coyoacan</t>
  </si>
  <si>
    <t>04890</t>
  </si>
  <si>
    <t>Jalisco-EBDI No 99 Guadalajara SCT ISSSTE</t>
  </si>
  <si>
    <t>2204</t>
  </si>
  <si>
    <t>014-304-03</t>
  </si>
  <si>
    <t>014_304_03_EBDI_No_99_Guadalajara_SCT_ISSSTE</t>
  </si>
  <si>
    <t>EBDI No 99 Guadalajara SCT ISSSTE</t>
  </si>
  <si>
    <t>Justo Sierra No. 2284 Col. Ladron de Guevara</t>
  </si>
  <si>
    <t>CDMX-EBDI Policia Federal</t>
  </si>
  <si>
    <t>4536</t>
  </si>
  <si>
    <t>093-304-41</t>
  </si>
  <si>
    <t>093_304_41_EBDI_Policia__Federal</t>
  </si>
  <si>
    <t>EBDI Policia Federal</t>
  </si>
  <si>
    <t>Eduardo Pallares No. 147 Esq. Pensylvania Col. Barrio de San Lucas</t>
  </si>
  <si>
    <t>CDMX-Escuela de Dietetica y Nutricion</t>
  </si>
  <si>
    <t>041-000-00</t>
  </si>
  <si>
    <t>041_000_00_Escuela_de_Dietetica__y__Nutricion</t>
  </si>
  <si>
    <t>Escuela de Dietetica y Nutricion</t>
  </si>
  <si>
    <t>Callejon Via San Fernando No. 12, Col. San Pedro Apostol</t>
  </si>
  <si>
    <t>Coahuila-Farmacia HG Torreon</t>
  </si>
  <si>
    <t>2093</t>
  </si>
  <si>
    <t>005-512-00</t>
  </si>
  <si>
    <t>005_512_00_Farmacia_HG_Torreon</t>
  </si>
  <si>
    <t>Farmacia HG Torreon</t>
  </si>
  <si>
    <t>Cisne Locas 3 y 4 Col. Fovissste la Rosita</t>
  </si>
  <si>
    <t>CDMX-FOVISSSTE Miguel Norena</t>
  </si>
  <si>
    <t>3026</t>
  </si>
  <si>
    <t>093-206-08</t>
  </si>
  <si>
    <t>093_206_08_FOVISSSTE_Miguel_Norena</t>
  </si>
  <si>
    <t>FOVISSSTE Miguel Norena</t>
  </si>
  <si>
    <t>Miguel Norena No. 28 Col. San Jose Insurgentes</t>
  </si>
  <si>
    <t>03900</t>
  </si>
  <si>
    <t>Guerrero-HAE Acapulco</t>
  </si>
  <si>
    <t>4640</t>
  </si>
  <si>
    <t>GRIST000520</t>
  </si>
  <si>
    <t>046-203-00</t>
  </si>
  <si>
    <t>046_203_00_HAE_Acapulco</t>
  </si>
  <si>
    <t>HAE</t>
  </si>
  <si>
    <t>HAE Acapulco</t>
  </si>
  <si>
    <t>Av. Costera Miguel Aleman No. 4455 Col. Costa Azul</t>
  </si>
  <si>
    <t>Acapulco de Juarez</t>
  </si>
  <si>
    <t>Estado de Mexico-HAE Bicentenario de la Independencia</t>
  </si>
  <si>
    <t>2001</t>
  </si>
  <si>
    <t>MCIST000425</t>
  </si>
  <si>
    <t>042-203-00</t>
  </si>
  <si>
    <t>042_203_00_HAE_Bicentenario_de_la_Independencia</t>
  </si>
  <si>
    <t>HAE Bicentenario de la Independencia</t>
  </si>
  <si>
    <t>Ciruelo SN Localidad Lazaro Cardenas Col. Lazaro Cardenas</t>
  </si>
  <si>
    <t>Tultitlan Mariano Escobedo</t>
  </si>
  <si>
    <t>Morelos-HAE Centenario de la Revolucion Mexicana</t>
  </si>
  <si>
    <t>2002</t>
  </si>
  <si>
    <t>MSIST000293</t>
  </si>
  <si>
    <t>043-203-00</t>
  </si>
  <si>
    <t>043_203_00_HAE_Centenario_de_la_Revolucion_Mexicana</t>
  </si>
  <si>
    <t>HAE Centenario de la Revolucion Mexicana</t>
  </si>
  <si>
    <t>Av. Universidad No. 40 Col. Palo Escrito</t>
  </si>
  <si>
    <t>Sinaloa-HAE Dr MCardenas de la Vega Culiacan</t>
  </si>
  <si>
    <t>2745</t>
  </si>
  <si>
    <t>SLIST000085</t>
  </si>
  <si>
    <t>033-203-00</t>
  </si>
  <si>
    <t>033_203_00_HAE_Dr_MCardenas_de_la_Vega_Culiacan</t>
  </si>
  <si>
    <t>HAE Dr MCardenas de la Vega Culiacan</t>
  </si>
  <si>
    <t>H. Colegio Militar Sur No. 875 Col. 5 de Mayo</t>
  </si>
  <si>
    <t>CDMX-HAE Gral Ignacio Zaragoza</t>
  </si>
  <si>
    <t>2613</t>
  </si>
  <si>
    <t>DFIST000160</t>
  </si>
  <si>
    <t>097-201-00</t>
  </si>
  <si>
    <t>097_201_00_HAE_Gral_Ignacio_Zaragoza</t>
  </si>
  <si>
    <t>HAE Gral Ignacio Zaragoza</t>
  </si>
  <si>
    <t>Calz. Ignacio Zaragoza 1711 Col. Ejercito Constitucionalista</t>
  </si>
  <si>
    <t>Guanajuato-HAE Leon</t>
  </si>
  <si>
    <t>2646</t>
  </si>
  <si>
    <t>037-203-00</t>
  </si>
  <si>
    <t>037_203_00_HAE_Leon</t>
  </si>
  <si>
    <t>HAE Leon</t>
  </si>
  <si>
    <t>Av. Pradera 1101 Col. Azteca</t>
  </si>
  <si>
    <t>CDMX-HAE Lic Adolfo Lopez Mateos</t>
  </si>
  <si>
    <t>2614</t>
  </si>
  <si>
    <t>DFIST000201</t>
  </si>
  <si>
    <t>098-201-00</t>
  </si>
  <si>
    <t>098_201_00_HAE_Lic_Adolfo_Lopez_Mateos</t>
  </si>
  <si>
    <t>HAE Lic Adolfo Lopez Mateos</t>
  </si>
  <si>
    <t>Yucatan-HAE Merida Elvia Carrillo Puerto</t>
  </si>
  <si>
    <t>2777</t>
  </si>
  <si>
    <t>YNIST000030</t>
  </si>
  <si>
    <t>038-203-00</t>
  </si>
  <si>
    <t>038_203_00_HAE_Merida_Elvia_Carrillo_Puerto</t>
  </si>
  <si>
    <t>HAE Merida Elvia Carrillo Puerto</t>
  </si>
  <si>
    <t>Nuevo Leon-HAE Monterrey</t>
  </si>
  <si>
    <t>2710</t>
  </si>
  <si>
    <t>NLIST000105</t>
  </si>
  <si>
    <t>035-203-00</t>
  </si>
  <si>
    <t>035_203_00_HAE_Monterrey</t>
  </si>
  <si>
    <t>HAE Monterrey</t>
  </si>
  <si>
    <t>Av. Adolfo Lopez Mateos No. 122 Col. Burocratas Federales</t>
  </si>
  <si>
    <t>Michoacan-HAE Morelia</t>
  </si>
  <si>
    <t>2718</t>
  </si>
  <si>
    <t>MNIST000120</t>
  </si>
  <si>
    <t>044-203-00</t>
  </si>
  <si>
    <t>044_203_00_HAE_Morelia</t>
  </si>
  <si>
    <t>HAE Morelia</t>
  </si>
  <si>
    <t>Autopista Morelia Aeropuerto Fracc 1 Parcela 101 Col. Ejido Atepaneo</t>
  </si>
  <si>
    <t>Oaxaca-HAE Presidente Benito Juarez Oax</t>
  </si>
  <si>
    <t>3201</t>
  </si>
  <si>
    <t>OCIST000112</t>
  </si>
  <si>
    <t>039-203-00</t>
  </si>
  <si>
    <t>039_203_00_HAE_Presidente_Benito_Juarez_Oax</t>
  </si>
  <si>
    <t>HAE Presidente Benito Juarez Oax</t>
  </si>
  <si>
    <t>Dr. Gerardo Varela 607 Col. Falda Cerro del Creston</t>
  </si>
  <si>
    <t>CDMX-HAE Primero de Octubre</t>
  </si>
  <si>
    <t>2309</t>
  </si>
  <si>
    <t>DFIST000090</t>
  </si>
  <si>
    <t>090-201-00</t>
  </si>
  <si>
    <t>090_201_00_HAE_Primero_de_Octubre</t>
  </si>
  <si>
    <t>HAE Primero de Octubre</t>
  </si>
  <si>
    <t>Puebla-HAE Puebla Pue</t>
  </si>
  <si>
    <t>2715</t>
  </si>
  <si>
    <t>PLIST000101</t>
  </si>
  <si>
    <t>036-203-00</t>
  </si>
  <si>
    <t>036_203_00_HAE_Puebla_Pue</t>
  </si>
  <si>
    <t>HAE Puebla Pue</t>
  </si>
  <si>
    <t>14 Sur 4336 Col. Jardines de San Manuel</t>
  </si>
  <si>
    <t>Jalisco-HAE Tlajomulco de Zuniga</t>
  </si>
  <si>
    <t>4633</t>
  </si>
  <si>
    <t>JCIST000955</t>
  </si>
  <si>
    <t>048-203-00</t>
  </si>
  <si>
    <t>048_203_00_HAE_Tlajomulco_de_Zuniga</t>
  </si>
  <si>
    <t>HAE Tlajomulco de Zuniga</t>
  </si>
  <si>
    <t>Cerro Viejo No. 25 Col. Valle de Tlajomulco</t>
  </si>
  <si>
    <t>Tlajomulco de Zuniga</t>
  </si>
  <si>
    <t>Coahuila-HAE Torreon</t>
  </si>
  <si>
    <t>4635</t>
  </si>
  <si>
    <t>CLIST000350</t>
  </si>
  <si>
    <t>047-203-00</t>
  </si>
  <si>
    <t>047_203_00_HAE_Torreon</t>
  </si>
  <si>
    <t>HAE Torreon</t>
  </si>
  <si>
    <t>Calle Rotarismo Internacional No. 100 Col. Ejido El Aguila</t>
  </si>
  <si>
    <t>Veracruz-HAE Veracruz Ver</t>
  </si>
  <si>
    <t>2776</t>
  </si>
  <si>
    <t>VZIST000301</t>
  </si>
  <si>
    <t>045-203-00</t>
  </si>
  <si>
    <t>045_203_00_HAE_Veracruz_Ver</t>
  </si>
  <si>
    <t>HAE Veracruz Ver</t>
  </si>
  <si>
    <t>Avenida Salvador Diaz Miron SN Esq. Sayula, Fracc. Moderno</t>
  </si>
  <si>
    <t>Baja California-HG 5 de Diciembre Mexicali</t>
  </si>
  <si>
    <t>2890</t>
  </si>
  <si>
    <t>BCIST000040</t>
  </si>
  <si>
    <t>002-204-00</t>
  </si>
  <si>
    <t>002_204_00_HG_5_de_Diciembre_Mexicali</t>
  </si>
  <si>
    <t>HG</t>
  </si>
  <si>
    <t>HG 5 de Diciembre Mexicali</t>
  </si>
  <si>
    <t>Del Hospital y Calz. Independencia SN Col. Centro Civico</t>
  </si>
  <si>
    <t>Guerrero-HG Acapulco</t>
  </si>
  <si>
    <t>3058</t>
  </si>
  <si>
    <t>GRIST000025</t>
  </si>
  <si>
    <t>012-204-00</t>
  </si>
  <si>
    <t>012_204_00_HG_Acapulco</t>
  </si>
  <si>
    <t>HG Acapulco</t>
  </si>
  <si>
    <t>Av. Ruiz Cortinez No. 124 Col. Alta Progreso</t>
  </si>
  <si>
    <t>Aguascalientes-HG Aguascalientes</t>
  </si>
  <si>
    <t>2888</t>
  </si>
  <si>
    <t>ASIST000016</t>
  </si>
  <si>
    <t>001-204-00</t>
  </si>
  <si>
    <t>001_204_00_HG_Aguascalientes</t>
  </si>
  <si>
    <t>HG Aguascalientes</t>
  </si>
  <si>
    <t>Av. Universidad No. 410 Col. Fracc. San Cayetano</t>
  </si>
  <si>
    <t>Chihuahua-HG Cd Juarez</t>
  </si>
  <si>
    <t>2977</t>
  </si>
  <si>
    <t>CHIST000112</t>
  </si>
  <si>
    <t>008-205-00</t>
  </si>
  <si>
    <t>008_205_00_HG_Cd_Juarez</t>
  </si>
  <si>
    <t>HG Cd Juarez</t>
  </si>
  <si>
    <t>Envolvente No. 4 Col. Pronaf</t>
  </si>
  <si>
    <t>Chiapas-HG Dr Belisario Dominguez Tuxtla Gutierrez</t>
  </si>
  <si>
    <t>4540</t>
  </si>
  <si>
    <t>CSIST000251</t>
  </si>
  <si>
    <t>007-204-00</t>
  </si>
  <si>
    <t>007_204_00_HG_Dr_Belisario_Dominguez_Tuxtla_Gutierrez</t>
  </si>
  <si>
    <t>HG Dr Belisario Dominguez Tuxtla Gutierrez</t>
  </si>
  <si>
    <t>Blvd. Salomon Gonzalez No. 4650 Continuacion Libramiento Norte Col. Fracc. Las Torres</t>
  </si>
  <si>
    <t>CDMX-HG Dr Dario Fernandez Fierro</t>
  </si>
  <si>
    <t>3016</t>
  </si>
  <si>
    <t>DFIST000324</t>
  </si>
  <si>
    <t>093-215-00</t>
  </si>
  <si>
    <t>093_215_00_HG_Dr_Dario_Fernandez_Fierro</t>
  </si>
  <si>
    <t>HG Dr Dario Fernandez Fierro</t>
  </si>
  <si>
    <t>Av. Revolucion 1182 Col. San Jose Insurgentes</t>
  </si>
  <si>
    <t>Coahuila-HG Dr Fco Galindo Chavez Torreon</t>
  </si>
  <si>
    <t>2986</t>
  </si>
  <si>
    <t>CLIST000123</t>
  </si>
  <si>
    <t>005-205-00</t>
  </si>
  <si>
    <t>005_205_00_HG_Dr_Fco_Galindo_Chavez_Torreon</t>
  </si>
  <si>
    <t>HG Dr Fco Galindo Chavez Torreon</t>
  </si>
  <si>
    <t>Allende y Donato Guerra SN Col. Centro</t>
  </si>
  <si>
    <t>Sonora-HG Dr Fernando Ocaranza Hermosillo</t>
  </si>
  <si>
    <t>3313</t>
  </si>
  <si>
    <t>SRIST000133</t>
  </si>
  <si>
    <t>026-204-00</t>
  </si>
  <si>
    <t>026_204_00_HG_Dr_Fernando_Ocaranza_Hermosillo</t>
  </si>
  <si>
    <t>HG Dr Fernando Ocaranza Hermosillo</t>
  </si>
  <si>
    <t>Blvrd. Morelos SN Loma Linda 38150 Col. Loma Linda</t>
  </si>
  <si>
    <t>CDMX-HG Dr Fernando Quiroz Gutierrez</t>
  </si>
  <si>
    <t>3013</t>
  </si>
  <si>
    <t>DFIST000196</t>
  </si>
  <si>
    <t>094-205-00</t>
  </si>
  <si>
    <t>094_205_00_HG_Dr_Fernando_Quiroz_Gutierrez</t>
  </si>
  <si>
    <t>HG Dr Fernando Quiroz Gutierrez</t>
  </si>
  <si>
    <t>Felipe Angeles Esq. Canario SN Col. Bella Vista</t>
  </si>
  <si>
    <t>01140</t>
  </si>
  <si>
    <t>Durango-HG Dr Santiago Ramon y Cajal Dgo</t>
  </si>
  <si>
    <t>2885</t>
  </si>
  <si>
    <t>DGIST000042</t>
  </si>
  <si>
    <t>010-204-00</t>
  </si>
  <si>
    <t>010_204_00_HG_Dr_Santiago_Ramon_y_Cajal_Dgo</t>
  </si>
  <si>
    <t>HG Dr Santiago Ramon y Cajal Dgo</t>
  </si>
  <si>
    <t>Av. Velino M. Preza No. 202, Col. Silvestre Dorador</t>
  </si>
  <si>
    <t>Hidalgo-HG Dra Columba Rivera Osorio Pachuca</t>
  </si>
  <si>
    <t>2666</t>
  </si>
  <si>
    <t>HGIST000106</t>
  </si>
  <si>
    <t>013-204-00</t>
  </si>
  <si>
    <t>013_204_00_HG_Dra_Columba_Rivera_Osorio_Pachuca</t>
  </si>
  <si>
    <t>HG Dra Columba Rivera Osorio Pachuca</t>
  </si>
  <si>
    <t>Carr. Mexico Pachuca Km 86.5 Col. Issste</t>
  </si>
  <si>
    <t>Pachuca De Soto</t>
  </si>
  <si>
    <t>Baja California-HG Fray Junipero Serra Tijuana</t>
  </si>
  <si>
    <t>2568</t>
  </si>
  <si>
    <t>BCIST000093</t>
  </si>
  <si>
    <t>002-209-00</t>
  </si>
  <si>
    <t>002_209_00_HG_Fray_Junipero_Serra_Tijuana</t>
  </si>
  <si>
    <t>HG Fray Junipero Serra Tijuana</t>
  </si>
  <si>
    <t>Blvd. Las Palmas No. 4141 Col. Fracc. Las Palmas</t>
  </si>
  <si>
    <t>CDMX-HG Gral Jose Maria Morelos y Pavon</t>
  </si>
  <si>
    <t>3011</t>
  </si>
  <si>
    <t>DFIST000155</t>
  </si>
  <si>
    <t>092-210-00</t>
  </si>
  <si>
    <t>092_210_00_HG_Gral_Jose_Maria_Morelos_y_Pavon</t>
  </si>
  <si>
    <t>HG Gral Jose Maria Morelos y Pavon</t>
  </si>
  <si>
    <t>Av. Congreso Chilpancingo Poniente Sur Sn Col. U.H. Ermita Zaragoza</t>
  </si>
  <si>
    <t>09180</t>
  </si>
  <si>
    <t>Baja California Sur-HG La Paz</t>
  </si>
  <si>
    <t>2552</t>
  </si>
  <si>
    <t>BSIST000330</t>
  </si>
  <si>
    <t>003-207-00</t>
  </si>
  <si>
    <t>003_207_00_HG_La_Paz</t>
  </si>
  <si>
    <t>HG La Paz</t>
  </si>
  <si>
    <t>Mar Caribe Esq. Oceano Atlantico y Mar Mediterraneo SN Col. Conchalito</t>
  </si>
  <si>
    <t>Chihuahua-HG Presidente Gral Lazaro Cardenas Chihuahua</t>
  </si>
  <si>
    <t>2978</t>
  </si>
  <si>
    <t>CHIST000030</t>
  </si>
  <si>
    <t>008-204-00</t>
  </si>
  <si>
    <t>008_204_00_HG_Presidente_Gral_Lazaro_Cardenas_Chihuahua</t>
  </si>
  <si>
    <t>HG Presidente Gral Lazaro Cardenas Chihuahua</t>
  </si>
  <si>
    <t>Av. Universidad de Americas SN Col. Centro</t>
  </si>
  <si>
    <t>Queretaro-HG Queretaro</t>
  </si>
  <si>
    <t>2014</t>
  </si>
  <si>
    <t>QTIST000046</t>
  </si>
  <si>
    <t>022-206-00</t>
  </si>
  <si>
    <t>022_206_00_HG_Queretaro</t>
  </si>
  <si>
    <t>HG Queretaro</t>
  </si>
  <si>
    <t>Av. Tecnologico No. 101 Nte. Col. Centro</t>
  </si>
  <si>
    <t>Coahuila-HG Saltillo</t>
  </si>
  <si>
    <t>2590</t>
  </si>
  <si>
    <t>CLIST000333</t>
  </si>
  <si>
    <t>005-220-00</t>
  </si>
  <si>
    <t>005_220_00_HG_Saltillo</t>
  </si>
  <si>
    <t>HG Saltillo</t>
  </si>
  <si>
    <t>Francisco Murguia No. 405 Col. Centro</t>
  </si>
  <si>
    <t>San Luis Potosi-HG San Luis Potosi SLP</t>
  </si>
  <si>
    <t>3277</t>
  </si>
  <si>
    <t>SPIST000113</t>
  </si>
  <si>
    <t>024-204-00</t>
  </si>
  <si>
    <t>024_204_00_HG_San_Luis_Potosi_SLP</t>
  </si>
  <si>
    <t>HG San Luis Potosi SLP</t>
  </si>
  <si>
    <t>Carlos Diez Gutierrez 915 Col. Julian Carrillo</t>
  </si>
  <si>
    <t>CDMX-HG Tacuba</t>
  </si>
  <si>
    <t>3014</t>
  </si>
  <si>
    <t>DFIST000534</t>
  </si>
  <si>
    <t>094-209-00</t>
  </si>
  <si>
    <t>094_209_00_HG_Tacuba</t>
  </si>
  <si>
    <t>HG Tacuba</t>
  </si>
  <si>
    <t>Lago Ontario 36 Col. Tacuba</t>
  </si>
  <si>
    <t>Tamaulipas-HG Tampico</t>
  </si>
  <si>
    <t>4638</t>
  </si>
  <si>
    <t>TSIST000363</t>
  </si>
  <si>
    <t>028-215-00</t>
  </si>
  <si>
    <t>028_215_00_HG_Tampico</t>
  </si>
  <si>
    <t>HG Tampico</t>
  </si>
  <si>
    <t>Av. las Torres 501 Col. Colinas de San Gerardo</t>
  </si>
  <si>
    <t>Tamaulipas-HG Tampico (Anterior)</t>
  </si>
  <si>
    <t>TSIST000182 </t>
  </si>
  <si>
    <t>028-205-00</t>
  </si>
  <si>
    <t>028_205_00_HG_Tampico_(Anterior)</t>
  </si>
  <si>
    <t>HG Tampico (Anterior)</t>
  </si>
  <si>
    <t xml:space="preserve">Av. Ejercito Nacional No. 1401 Col. Primavera   </t>
  </si>
  <si>
    <t>Tlaxcala-HG Tlaxcala Tlax</t>
  </si>
  <si>
    <t>3384</t>
  </si>
  <si>
    <t>TLIST000042</t>
  </si>
  <si>
    <t>029-204-00</t>
  </si>
  <si>
    <t>029_204_00_HG_Tlaxcala_Tlax</t>
  </si>
  <si>
    <t>HG Tlaxcala Tlax</t>
  </si>
  <si>
    <t>Carr. Ocatlan No. 24B Col. San Gabriel Cuautla</t>
  </si>
  <si>
    <t>Estado de Mexico-HG Toluca</t>
  </si>
  <si>
    <t>3031</t>
  </si>
  <si>
    <t>MCIST000215</t>
  </si>
  <si>
    <t>015-204-00</t>
  </si>
  <si>
    <t>015_204_00_HG_Toluca</t>
  </si>
  <si>
    <t>HG Toluca</t>
  </si>
  <si>
    <t>Francisco Patino Esq. Daniel Espinoza SN Col. Jesus Jimenez Gallardo</t>
  </si>
  <si>
    <t>Metepec</t>
  </si>
  <si>
    <t>Zacatecas-HG Zacatecas Zac</t>
  </si>
  <si>
    <t>2781</t>
  </si>
  <si>
    <t>ZSIST000160</t>
  </si>
  <si>
    <t>032-204-00</t>
  </si>
  <si>
    <t>032_204_00_HG_Zacatecas_Zac</t>
  </si>
  <si>
    <t>HG Zacatecas Zac</t>
  </si>
  <si>
    <t>Blvd. Lopez Mateos Esq. con Cjon. de Ruiz SN Col. Centro</t>
  </si>
  <si>
    <t>Jalisco-HG Zapopan</t>
  </si>
  <si>
    <t>2667</t>
  </si>
  <si>
    <t>014-219-00</t>
  </si>
  <si>
    <t>014_219_00_HG_Zapopan</t>
  </si>
  <si>
    <t>HG Zapopan</t>
  </si>
  <si>
    <t>Av. Soledad Orozco 203 Col. El Capullo</t>
  </si>
  <si>
    <t>CDMX-Jefatura de Servicios de Informacion y Difusion</t>
  </si>
  <si>
    <t>107-000-00</t>
  </si>
  <si>
    <t>107_000_00_Jefatura_de_Servicios_de_Informacion_y_Difusion</t>
  </si>
  <si>
    <t>Jefatura de Servicios de Informacion y Difusion</t>
  </si>
  <si>
    <t>CDMX-Jefatura de Servicios de Programas de Comunicacion</t>
  </si>
  <si>
    <t>107_000_00_Jefatura_de_Servicios_de_Programas_de_Comunicacion</t>
  </si>
  <si>
    <t>Jefatura de Servicios de Programas de Comunicacion</t>
  </si>
  <si>
    <t>CDMX-Nueva Uape No 3</t>
  </si>
  <si>
    <t>4579</t>
  </si>
  <si>
    <t>092-301-09</t>
  </si>
  <si>
    <t>092_301_09_Nueva_Uape_No_3</t>
  </si>
  <si>
    <t>Nueva Uape No 3</t>
  </si>
  <si>
    <t>Azafran No. 18 Casi Esq. Con Eje 3 Oriente Piso 1 Col. Granjas Mexico</t>
  </si>
  <si>
    <t>Aguascalientes-Oficina de Representacion Pensionissste Aguascalientes</t>
  </si>
  <si>
    <t>4526</t>
  </si>
  <si>
    <t>001-302-00</t>
  </si>
  <si>
    <t>001_302_00_Oficina_de_Representacion_Pensionissste_Aguascalientes</t>
  </si>
  <si>
    <t>PEN</t>
  </si>
  <si>
    <t>Oficina de Representacion Pensionissste Aguascalientes</t>
  </si>
  <si>
    <t>Av. Adolfo Lopez Mateos Oriente No. 323 Esq. Francisco Javier Mina No. 101 entre Dr. Jesus Diaz de Leon y 16 de Septiembre Col. Centro</t>
  </si>
  <si>
    <t>Yucatan-Oficina de Representacion Pensionissste Merida</t>
  </si>
  <si>
    <t>4525</t>
  </si>
  <si>
    <t>_Oficina_de_Representacion_Pensionissste_Merida</t>
  </si>
  <si>
    <t>Oficina de Representacion Pensionissste Merida</t>
  </si>
  <si>
    <t>19 Esq. Con 20 Plaza Itzimina Col. Itzimna</t>
  </si>
  <si>
    <t>Baja California-Oficina de Representacion Pensionissste Mexicali</t>
  </si>
  <si>
    <t>4522</t>
  </si>
  <si>
    <t>_Oficina_de_Representacion_Pensionissste_Mexicali</t>
  </si>
  <si>
    <t>Oficina de Representacion Pensionissste Mexicali</t>
  </si>
  <si>
    <t>Blvd. Benito Juarez Plaza Fimbres No. 1900 Local E entre Av. Jardin Sur y Av. Gral. Venustiano Carranza Col. Jardines del Valle</t>
  </si>
  <si>
    <t>Coahuila-Oficina de Representacion Pensionissste Saltillo</t>
  </si>
  <si>
    <t>4523</t>
  </si>
  <si>
    <t>_Oficina_de_Representacion_Pensionissste_Saltillo</t>
  </si>
  <si>
    <t>Oficina de Representacion Pensionissste Saltillo</t>
  </si>
  <si>
    <t>Blvd. Saltillo No. 509 Locales 56 y 7 entre Reynosa y Periferico Luis Echeverria Col. Maestros</t>
  </si>
  <si>
    <t>Tabasco-Oficina de Representacion Pensionissste Villahermosa</t>
  </si>
  <si>
    <t>4524</t>
  </si>
  <si>
    <t>_Oficina_de_Representacion_Pensionissste_Villahermosa</t>
  </si>
  <si>
    <t>Oficina de Representacion Pensionissste Villahermosa</t>
  </si>
  <si>
    <t>Blvd. Adolfo Ruiz Cortines y Abelardo Reyes No. 917 Locales 1 2 y 3 entre Av. Pages Llergo y Gil y Saenz Col. Las Arboledas</t>
  </si>
  <si>
    <t>Zacatecas-Oficina del Delegado Estatal</t>
  </si>
  <si>
    <t>032-130-00</t>
  </si>
  <si>
    <t>032_130_00_Oficina_del_Delegado_Estatal</t>
  </si>
  <si>
    <t>Oficina del Delegado Estatal</t>
  </si>
  <si>
    <t>Carr. A Cd. Cuahutemoc Km. 0.5 Col. Industrial</t>
  </si>
  <si>
    <t>Aguascalientes-Oficina del Delegado Estatal</t>
  </si>
  <si>
    <t>001-130-00</t>
  </si>
  <si>
    <t>001_130_00_Oficina_del_Delegado_Estatal</t>
  </si>
  <si>
    <t>Av. Las Americas No. 403 Col. Fracc. la Fuente</t>
  </si>
  <si>
    <t>Baja California Sur-Oficina del Delegado Estatal</t>
  </si>
  <si>
    <t>003-130-00</t>
  </si>
  <si>
    <t>003_130_00_Oficina_del_Delegado_Estatal</t>
  </si>
  <si>
    <t>Av. Mexico 1970 Col. Fracc. La Perla</t>
  </si>
  <si>
    <t>Baja California-Oficina del Delegado Estatal</t>
  </si>
  <si>
    <t>002-130-00</t>
  </si>
  <si>
    <t>002_130_00_Oficina_del_Delegado_Estatal</t>
  </si>
  <si>
    <t>Calzada CETYS 2799 "C" edificio AELUS Col. Rivera</t>
  </si>
  <si>
    <t>Campeche-Oficina del Delegado Estatal</t>
  </si>
  <si>
    <t>004-130-00</t>
  </si>
  <si>
    <t>004_130_00_Oficina_del_Delegado_Estatal</t>
  </si>
  <si>
    <t>Ricardo Castillo Oliver No. 28 Col. San Francisco</t>
  </si>
  <si>
    <t>Chiapas-Oficina del Delegado Estatal</t>
  </si>
  <si>
    <t>007-130-00</t>
  </si>
  <si>
    <t>007_130_00_Oficina_del_Delegado_Estatal</t>
  </si>
  <si>
    <t>4ta Oriente Norte No. 1428 entre 13 y 14 Norte Col. Barrio la Pimienta</t>
  </si>
  <si>
    <t>Chihuahua-Oficina del Delegado Estatal</t>
  </si>
  <si>
    <t>008-130-00</t>
  </si>
  <si>
    <t>008_130_00_Oficina_del_Delegado_Estatal</t>
  </si>
  <si>
    <t>Av. Washington No. 3701. Edif. 13 Col. Parque Industrial las Americas</t>
  </si>
  <si>
    <t>Coahuila-Oficina del Delegado Estatal</t>
  </si>
  <si>
    <t>005-130-00</t>
  </si>
  <si>
    <t>005_130_00_Oficina_del_Delegado_Estatal</t>
  </si>
  <si>
    <t>Victoria 416 Col Centro</t>
  </si>
  <si>
    <t>Colima-Oficina del Delegado Estatal</t>
  </si>
  <si>
    <t>006-130-00</t>
  </si>
  <si>
    <t>006_130_00_Oficina_del_Delegado_Estatal</t>
  </si>
  <si>
    <t>Av. Tecnologico No. 36 Col. Jardines Vista Hermosa</t>
  </si>
  <si>
    <t>Durango-Oficina del Delegado Estatal</t>
  </si>
  <si>
    <t>010-130-00</t>
  </si>
  <si>
    <t>010_130_00_Oficina_del_Delegado_Estatal</t>
  </si>
  <si>
    <t>C. Benigno Montoya SN Esq. Av. 20 de Noviembre, Col. Guillermina</t>
  </si>
  <si>
    <t>Guerrero-Oficina del Delegado Estatal</t>
  </si>
  <si>
    <t>012-130-00</t>
  </si>
  <si>
    <t>012_130_00_Oficina_del_Delegado_Estatal</t>
  </si>
  <si>
    <t>Av. Costera Miguel Aleman No. 63 Col. Club Deportivo</t>
  </si>
  <si>
    <t>Hidalgo-Oficina del Delegado Estatal</t>
  </si>
  <si>
    <t>013-130-00</t>
  </si>
  <si>
    <t>013_130_00_Oficina_del_Delegado_Estatal</t>
  </si>
  <si>
    <t>Carr. Mexico-Pachuca SN, plaza Perisur, Col. Venta Prieta</t>
  </si>
  <si>
    <t>Jalisco-Oficina del Delegado Estatal</t>
  </si>
  <si>
    <t>014-130-00</t>
  </si>
  <si>
    <t>014_130_00_Oficina_del_Delegado_Estatal</t>
  </si>
  <si>
    <t>Michoacan-Oficina del Delegado Estatal</t>
  </si>
  <si>
    <t>016-130-00</t>
  </si>
  <si>
    <t>016_130_00_Oficina_del_Delegado_Estatal</t>
  </si>
  <si>
    <t>Av. Franciso I. Madero Pte. 1212 Col. Molino de Parras</t>
  </si>
  <si>
    <t>Nayarit-Oficina del Delegado Estatal</t>
  </si>
  <si>
    <t>018-130-00</t>
  </si>
  <si>
    <t>018_130_00_Oficina_del_Delegado_Estatal</t>
  </si>
  <si>
    <t>Av. Insurgentes No. 104 Pte. Col. Centro</t>
  </si>
  <si>
    <t>Nuevo Leon-Oficina del Delegado Estatal</t>
  </si>
  <si>
    <t>019-130-00</t>
  </si>
  <si>
    <t>019_130_00_Oficina_del_Delegado_Estatal</t>
  </si>
  <si>
    <t>Degollado sur 734 A Col. Obispado</t>
  </si>
  <si>
    <t>Puebla-Oficina del Delegado Estatal</t>
  </si>
  <si>
    <t>021-130-00</t>
  </si>
  <si>
    <t>021_130_00_Oficina_del_Delegado_Estatal</t>
  </si>
  <si>
    <t>San Luis Potosi-Oficina del Delegado Estatal</t>
  </si>
  <si>
    <t>024-130-00</t>
  </si>
  <si>
    <t>024_130_00_Oficina_del_Delegado_Estatal</t>
  </si>
  <si>
    <t>Av. Venustiano Carranza 985 Col. Moderna</t>
  </si>
  <si>
    <t>Sinaloa-Oficina del Delegado Estatal</t>
  </si>
  <si>
    <t>025-130-00</t>
  </si>
  <si>
    <t>025_130_00_Oficina_del_Delegado_Estatal</t>
  </si>
  <si>
    <t>Blvd. Rotarismo No 1733 Col. Desarrollo Urbano Tres Rios</t>
  </si>
  <si>
    <t>Sonora-Oficina del Delegado Estatal</t>
  </si>
  <si>
    <t>026-130-00</t>
  </si>
  <si>
    <t>026_130_00_Oficina_del_Delegado_Estatal</t>
  </si>
  <si>
    <t>Av. Comonfort  y Cultura SN Col. Centro</t>
  </si>
  <si>
    <t>Tamaulipas-Oficina del Delegado Estatal</t>
  </si>
  <si>
    <t>028-130-00</t>
  </si>
  <si>
    <t>028_130_00_Oficina_del_Delegado_Estatal</t>
  </si>
  <si>
    <t>Nueve y Diez Hidalgo No. 869 Zona Centro Col. Centro</t>
  </si>
  <si>
    <t>Tlaxcala-Oficina del Delegado Estatal</t>
  </si>
  <si>
    <t>029-130-00</t>
  </si>
  <si>
    <t>029_130_00_Oficina_del_Delegado_Estatal</t>
  </si>
  <si>
    <t>Veracruz-Oficina del Delegado Estatal</t>
  </si>
  <si>
    <t>030-130-00</t>
  </si>
  <si>
    <t>030_130_00_Oficina_del_Delegado_Estatal</t>
  </si>
  <si>
    <t>CDMX-Oficina del Delegado Regional Zona Norte</t>
  </si>
  <si>
    <t>091-130-00</t>
  </si>
  <si>
    <t>091_130_00_Oficina_del_Delegado_Regional_Zona_Norte</t>
  </si>
  <si>
    <t>Oficina del Delegado Regional Zona Norte</t>
  </si>
  <si>
    <t>Paseo de la Reforma No. 122, Col. Juarez</t>
  </si>
  <si>
    <t>CDMX-Oficina del Delegado Regional Zona Oriente</t>
  </si>
  <si>
    <t>092-130-00</t>
  </si>
  <si>
    <t>092_130_00_Oficina_del_Delegado_Regional_Zona_Oriente</t>
  </si>
  <si>
    <t>Oficina del Delegado Regional Zona Oriente</t>
  </si>
  <si>
    <t>CDMX-Oficina del Delegado Regional Zona Poniente</t>
  </si>
  <si>
    <t>094-130-00</t>
  </si>
  <si>
    <t>094_130_00_Oficina_del_Delegado_Regional_Zona_Poniente</t>
  </si>
  <si>
    <t>Oficina del Delegado Regional Zona Poniente</t>
  </si>
  <si>
    <t>Cto. Interior Mtro. Jose Vasconcelos 221 San Miguel Chapultepec Secc II.</t>
  </si>
  <si>
    <t>CDMX-Oficina del Delegado Regional Zona Sur</t>
  </si>
  <si>
    <t>093-130-00</t>
  </si>
  <si>
    <t>093_130_00_Oficina_del_Delegado_Regional_Zona_Sur</t>
  </si>
  <si>
    <t>Oficina del Delegado Regional Zona Sur</t>
  </si>
  <si>
    <t>CDMX-Organo Interno de Control en el ISSSTE</t>
  </si>
  <si>
    <t>3022</t>
  </si>
  <si>
    <t>110-000-00</t>
  </si>
  <si>
    <t>110_000_00_Organo_Interno_de_Control_en_el_ISSSTE</t>
  </si>
  <si>
    <t>Organo Interno de Control en el ISSSTE</t>
  </si>
  <si>
    <t>Av. Revolucion No. 642 Col. San Pedro de Los Pinos</t>
  </si>
  <si>
    <t>CDMX-Organo Interno de Control en el SUPERISSSTE</t>
  </si>
  <si>
    <t>500-500-00</t>
  </si>
  <si>
    <t>500_500_00_Organo_Interno__de_Control_en_el_SUPERISSSTE</t>
  </si>
  <si>
    <t>Organo Interno de Control en el SUPERISSSTE</t>
  </si>
  <si>
    <t>Gob. Vicente eguia No. 62 Piso 2 Col. San Miguel Chapultepec</t>
  </si>
  <si>
    <t>CDMX-PENSIONISSSTE Area Central</t>
  </si>
  <si>
    <t>4501</t>
  </si>
  <si>
    <t>_PENSIONISSSTE_Area_Central</t>
  </si>
  <si>
    <t>PENSIONISSSTE Area Central</t>
  </si>
  <si>
    <t>Blvd. Adolfo Lopez Mateos No. 2157 Col. Ampliacion Los Alpes</t>
  </si>
  <si>
    <t>01710</t>
  </si>
  <si>
    <t>Aguascalientes-Representacion Estatal Aguascalientes</t>
  </si>
  <si>
    <t>2887</t>
  </si>
  <si>
    <t>001-000-00</t>
  </si>
  <si>
    <t>001_000_00_Representacion_Estatal_Aguascalientes</t>
  </si>
  <si>
    <t>REP</t>
  </si>
  <si>
    <t>Representacion Estatal Aguascalientes</t>
  </si>
  <si>
    <t>Av. Las Americas No. 403 5To Piso Col. Fracc. la Fuente</t>
  </si>
  <si>
    <t>Baja California Sur-Representacion Estatal Baja California Sur</t>
  </si>
  <si>
    <t>2895</t>
  </si>
  <si>
    <t>003-000-00</t>
  </si>
  <si>
    <t>003_000_00_Representacion_Estatal_Baja_California_Sur</t>
  </si>
  <si>
    <t>Representacion Estatal Baja California Sur</t>
  </si>
  <si>
    <t>Baja California-Representacion Estatal Baja California </t>
  </si>
  <si>
    <t>2889</t>
  </si>
  <si>
    <t>002-000-00</t>
  </si>
  <si>
    <t>002_000_00_Representacion_Estatal_Baja_California </t>
  </si>
  <si>
    <t>Representacion Estatal Baja California </t>
  </si>
  <si>
    <t>Campeche-Representacion Estatal Campeche</t>
  </si>
  <si>
    <t>2917</t>
  </si>
  <si>
    <t>004-000-00</t>
  </si>
  <si>
    <t>004_000_00_Representacion_Estatal_Campeche</t>
  </si>
  <si>
    <t>Representacion Estatal Campeche</t>
  </si>
  <si>
    <t>Ricardo Castillo Oliver con Av. Maria Lavalle Urbina Col. San Francisco</t>
  </si>
  <si>
    <t>Chiapas-Representacion Estatal Chiapas</t>
  </si>
  <si>
    <t>2927</t>
  </si>
  <si>
    <t>007-000-00</t>
  </si>
  <si>
    <t>007_000_00_Representacion_Estatal_Chiapas</t>
  </si>
  <si>
    <t>Representacion Estatal Chiapas</t>
  </si>
  <si>
    <t>Chihuahua-Representacion Estatal Chihuahua</t>
  </si>
  <si>
    <t>2068</t>
  </si>
  <si>
    <t>008-000-00</t>
  </si>
  <si>
    <t>008_000_00_Representacion_Estatal_Chihuahua</t>
  </si>
  <si>
    <t>Representacion Estatal Chihuahua</t>
  </si>
  <si>
    <t>Coahuila-Representacion Estatal Coahuila</t>
  </si>
  <si>
    <t>2985</t>
  </si>
  <si>
    <t>005-000-00</t>
  </si>
  <si>
    <t>005_000_00_Representacion_Estatal_Coahuila</t>
  </si>
  <si>
    <t>Representacion Estatal Coahuila</t>
  </si>
  <si>
    <t>Colima-Representacion Estatal Colima</t>
  </si>
  <si>
    <t>3007</t>
  </si>
  <si>
    <t>006-000-00</t>
  </si>
  <si>
    <t>006_000_00_Representacion_Estatal_Colima</t>
  </si>
  <si>
    <t>Representacion Estatal Colima</t>
  </si>
  <si>
    <t>Durango-Representacion Estatal Durango</t>
  </si>
  <si>
    <t>2884</t>
  </si>
  <si>
    <t>010-000-00</t>
  </si>
  <si>
    <t>010_000_00_Representacion_Estatal_Durango</t>
  </si>
  <si>
    <t>Representacion Estatal Durango</t>
  </si>
  <si>
    <t>Estado de Mexico-Representacion Estatal Estado de Mexico</t>
  </si>
  <si>
    <t>3030</t>
  </si>
  <si>
    <t>015-000-00</t>
  </si>
  <si>
    <t>015_000_00_Representacion_Estatal_Estado_de_Mexico</t>
  </si>
  <si>
    <t>Representacion Estatal Estado de Mexico</t>
  </si>
  <si>
    <t>Guanajuato-Representacion Estatal Guanajuato</t>
  </si>
  <si>
    <t>3033</t>
  </si>
  <si>
    <t>011-000-00</t>
  </si>
  <si>
    <t>011_000_00_Representacion_Estatal_Guanajuato</t>
  </si>
  <si>
    <t>Representacion Estatal Guanajuato</t>
  </si>
  <si>
    <t>Guerrero-Representacion Estatal Guerrero</t>
  </si>
  <si>
    <t>3057</t>
  </si>
  <si>
    <t>012-000-00</t>
  </si>
  <si>
    <t>012_000_00_Representacion_Estatal_Guerrero</t>
  </si>
  <si>
    <t>Representacion Estatal Guerrero</t>
  </si>
  <si>
    <t>Hidalgo-Representacion Estatal Hidalgo</t>
  </si>
  <si>
    <t>3102</t>
  </si>
  <si>
    <t>013-000-00</t>
  </si>
  <si>
    <t>013_000_00_Representacion_Estatal_Hidalgo</t>
  </si>
  <si>
    <t>Representacion Estatal Hidalgo</t>
  </si>
  <si>
    <t>Blvd. Felipe Angeles SN Col. Venta Prieta</t>
  </si>
  <si>
    <t>Jalisco-Representacion Estatal Jalisco</t>
  </si>
  <si>
    <t>3130</t>
  </si>
  <si>
    <t>014-000-00</t>
  </si>
  <si>
    <t>014_000_00_Representacion_Estatal_Jalisco</t>
  </si>
  <si>
    <t>Representacion Estatal Jalisco</t>
  </si>
  <si>
    <t>Av. Alcalde No. 500 6to Piso Col. Alcalde Barranquitas</t>
  </si>
  <si>
    <t>Michoacan-Representacion Estatal Michoacan   </t>
  </si>
  <si>
    <t>3133</t>
  </si>
  <si>
    <t>016-000-00</t>
  </si>
  <si>
    <t>016_000_00_Representacion_Estatal_Michoacan   </t>
  </si>
  <si>
    <t>Representacion Estatal Michoacan   </t>
  </si>
  <si>
    <t>Morelos-Representacion Estatal Morelos</t>
  </si>
  <si>
    <t>3168</t>
  </si>
  <si>
    <t>017-000-00</t>
  </si>
  <si>
    <t>017_000_00_Representacion_Estatal_Morelos</t>
  </si>
  <si>
    <t>Representacion Estatal Morelos</t>
  </si>
  <si>
    <t>Av. Morelos Sur No. 110 Esq. Jalisco Col. Las Palmas</t>
  </si>
  <si>
    <t>Nayarit-Representacion Estatal Nayarit</t>
  </si>
  <si>
    <t>3170</t>
  </si>
  <si>
    <t>018-000-00</t>
  </si>
  <si>
    <t>018_000_00_Representacion_Estatal_Nayarit</t>
  </si>
  <si>
    <t>Representacion Estatal Nayarit</t>
  </si>
  <si>
    <t>Av. Insurgentes SN Esq. Oaxaca Col. Centro</t>
  </si>
  <si>
    <t>Nuevo Leon-Representacion Estatal Nuevo Leon</t>
  </si>
  <si>
    <t>3190</t>
  </si>
  <si>
    <t>019-000-00</t>
  </si>
  <si>
    <t>019_000_00_Representacion_Estatal_Nuevo_Leon</t>
  </si>
  <si>
    <t>Representacion Estatal Nuevo Leon</t>
  </si>
  <si>
    <t>Oaxaca-Representacion Estatal Oaxaca</t>
  </si>
  <si>
    <t>3199</t>
  </si>
  <si>
    <t>020-000-00</t>
  </si>
  <si>
    <t>020_000_00_Representacion_Estatal_Oaxaca</t>
  </si>
  <si>
    <t>Representacion Estatal Oaxaca</t>
  </si>
  <si>
    <t>Amapolas No. 100 Col. Reforma</t>
  </si>
  <si>
    <t>Puebla-Representacion Estatal Puebla</t>
  </si>
  <si>
    <t>3239</t>
  </si>
  <si>
    <t>021-000-00</t>
  </si>
  <si>
    <t>021_000_00_Representacion_Estatal_Puebla</t>
  </si>
  <si>
    <t>Representacion Estatal Puebla</t>
  </si>
  <si>
    <t>Queretaro-Representacion Estatal Queretaro</t>
  </si>
  <si>
    <t>3263</t>
  </si>
  <si>
    <t>022-000-00</t>
  </si>
  <si>
    <t>022_000_00_Representacion_Estatal_Queretaro </t>
  </si>
  <si>
    <t>Representacion Estatal Queretaro</t>
  </si>
  <si>
    <t>Av. de los Morales No. 20 Esq. Canaveral Col. Carrizal</t>
  </si>
  <si>
    <t>Quintana Roo-Representacion Estatal Quintana Roo</t>
  </si>
  <si>
    <t>3265</t>
  </si>
  <si>
    <t>023-000-00</t>
  </si>
  <si>
    <t>023_000_00_Representacion_Estatal_Quintana_Roo</t>
  </si>
  <si>
    <t>Representacion Estatal Quintana Roo</t>
  </si>
  <si>
    <t>Av. 5 Mayo Esq. 22 de Enero Col. Centro</t>
  </si>
  <si>
    <t>San Luis Potosi-Representacion Estatal San Luis Potosi</t>
  </si>
  <si>
    <t>3276</t>
  </si>
  <si>
    <t>024-000-00</t>
  </si>
  <si>
    <t>024_000_00_Representacion_Estatal_San_Luis_Potosi</t>
  </si>
  <si>
    <t>Representacion Estatal San Luis Potosi</t>
  </si>
  <si>
    <t>Sinaloa-Representacion Estatal Sinaloa</t>
  </si>
  <si>
    <t>3286</t>
  </si>
  <si>
    <t>025-000-00</t>
  </si>
  <si>
    <t>025_000_00_Representacion_Estatal_Sinaloa</t>
  </si>
  <si>
    <t>Representacion Estatal Sinaloa</t>
  </si>
  <si>
    <t>Sonora-Representacion Estatal Sonora</t>
  </si>
  <si>
    <t>3312</t>
  </si>
  <si>
    <t>026-000-00</t>
  </si>
  <si>
    <t>026_000_00_Representacion_Estatal_Sonora</t>
  </si>
  <si>
    <t>Representacion Estatal Sonora</t>
  </si>
  <si>
    <t>Comonfort y Av. La Concordia SN Col. Centro</t>
  </si>
  <si>
    <t>Tabasco-Representacion Estatal Tabasco</t>
  </si>
  <si>
    <t>3333</t>
  </si>
  <si>
    <t>027-000-00</t>
  </si>
  <si>
    <t>027_000_00_Representacion_Estatal_Tabasco</t>
  </si>
  <si>
    <t>Representacion Estatal Tabasco</t>
  </si>
  <si>
    <t>Tamaulipas-Representacion Estatal Tamaulipas</t>
  </si>
  <si>
    <t>3357</t>
  </si>
  <si>
    <t>028-000-00</t>
  </si>
  <si>
    <t>028_000_00_Representacion_Estatal_Tamaulipas</t>
  </si>
  <si>
    <t>Representacion Estatal Tamaulipas</t>
  </si>
  <si>
    <t>Tlaxcala-Representacion Estatal Tlaxcala  </t>
  </si>
  <si>
    <t>3383</t>
  </si>
  <si>
    <t>029-000-00</t>
  </si>
  <si>
    <t>029_000_00_Representacion_Estatal_Tlaxcala  </t>
  </si>
  <si>
    <t>Representacion Estatal Tlaxcala  </t>
  </si>
  <si>
    <t>Calle Miguel Lira y Ortega 69, Centro</t>
  </si>
  <si>
    <t>Tlaxcala Tlax</t>
  </si>
  <si>
    <t>Veracruz-Representacion Estatal Veracruz</t>
  </si>
  <si>
    <t>3386</t>
  </si>
  <si>
    <t>030-000-00</t>
  </si>
  <si>
    <t>030_000_00_Representacion_Estatal_Veracruz</t>
  </si>
  <si>
    <t>Representacion Estatal Veracruz</t>
  </si>
  <si>
    <t>Yucatan-Representacion Estatal Yucatan  </t>
  </si>
  <si>
    <t>3418</t>
  </si>
  <si>
    <t>031-000-00</t>
  </si>
  <si>
    <t>031_000_00_Representacion_Estatal_Yucatan  </t>
  </si>
  <si>
    <t>Representacion Estatal Yucatan  </t>
  </si>
  <si>
    <t>14 No. 100 M por 21 Col. Itzimna</t>
  </si>
  <si>
    <t>Zacatecas-Representacion Estatal Zacatecas</t>
  </si>
  <si>
    <t>2057</t>
  </si>
  <si>
    <t>032-000-00</t>
  </si>
  <si>
    <t>032_000_00_Representacion_Estatal_Zacatecas</t>
  </si>
  <si>
    <t>Representacion Estatal Zacatecas</t>
  </si>
  <si>
    <t>CDMX-Representacion Regional Zona Norte</t>
  </si>
  <si>
    <t>4596</t>
  </si>
  <si>
    <t>091-000-00</t>
  </si>
  <si>
    <t>091_000_00_Representacion_Regional_Zona_Norte</t>
  </si>
  <si>
    <t>Representacion Regional Zona Norte</t>
  </si>
  <si>
    <t>CDMX-Representacion Regional Zona Oriente</t>
  </si>
  <si>
    <t>3012</t>
  </si>
  <si>
    <t>092-000-00</t>
  </si>
  <si>
    <t>092_000_00_Representacion_Regional_Zona_Oriente</t>
  </si>
  <si>
    <t>Representacion Regional Zona Oriente</t>
  </si>
  <si>
    <t>CDMX-Representacion Regional Zona Poniente</t>
  </si>
  <si>
    <t>4590</t>
  </si>
  <si>
    <t>094-000-00</t>
  </si>
  <si>
    <t>094_000_00_Representacion_Regional_Zona_Poniente</t>
  </si>
  <si>
    <t>Representacion Regional Zona Poniente</t>
  </si>
  <si>
    <t>CDMX-Representacion Regional Zona Sur</t>
  </si>
  <si>
    <t>3017</t>
  </si>
  <si>
    <t>093-000-00</t>
  </si>
  <si>
    <t>093_000_00_Representacion_Regional_Zona_Sur</t>
  </si>
  <si>
    <t>Representacion Regional Zona Sur</t>
  </si>
  <si>
    <t>CDMX-Secretaria de la Junta Directiva</t>
  </si>
  <si>
    <t>180-181-00</t>
  </si>
  <si>
    <t>180_181_00_Secretaria_de_la_Junta_Directiva</t>
  </si>
  <si>
    <t>Secretaria de la Junta Directiva</t>
  </si>
  <si>
    <t>CDMX-Secretaria Tecnica de la Comision de Vigilancia</t>
  </si>
  <si>
    <t>100-102-00</t>
  </si>
  <si>
    <t>100_102_00_Secretaria_Tecnica_de_la_Comision_de_Vigilancia</t>
  </si>
  <si>
    <t>Secretaria Tecnica de la Comision de Vigilancia</t>
  </si>
  <si>
    <t>CDMX-Servicios Turisticos Vallarta</t>
  </si>
  <si>
    <t>300-306-01</t>
  </si>
  <si>
    <t>300_306_01_Servicios_Turisticos_Vallarta</t>
  </si>
  <si>
    <t>STU</t>
  </si>
  <si>
    <t>Servicios turisticos Vallarta</t>
  </si>
  <si>
    <t>Ignacio L. Vallarta No. 1 Col. Tabacalera</t>
  </si>
  <si>
    <t>CDMX-Sindicato del ISSSTE</t>
  </si>
  <si>
    <t>2831</t>
  </si>
  <si>
    <t>_Sindicato_del_ISSSTE</t>
  </si>
  <si>
    <t>Sindicato del ISSSTE</t>
  </si>
  <si>
    <t>Sor Juana Ines de la Cruz 93 Col. Miguel Hidalgo</t>
  </si>
  <si>
    <t>CDMX-Subcoordinacion 4</t>
  </si>
  <si>
    <t>130-135-00</t>
  </si>
  <si>
    <t>130_135_00_Subcoordinacion_4</t>
  </si>
  <si>
    <t>Subcoordinacion 4</t>
  </si>
  <si>
    <t>Jesus Garcia Corona No. 140 Piso 12 Ala C, Col. Buenavista</t>
  </si>
  <si>
    <t>CDMX-Subcoordinacion de Desarrollo Estategico</t>
  </si>
  <si>
    <t>130-131-00</t>
  </si>
  <si>
    <t>130_131_00_Subcoordinacion_de_Desarrollo_Estategico</t>
  </si>
  <si>
    <t>Subcoordinacion de Desarrollo Estategico</t>
  </si>
  <si>
    <t>Jesus Garcia Corona No. 140 Piso 12 Ala B y C, Col. Buenavista</t>
  </si>
  <si>
    <t>CDMX-Subcoordinacion de Enlace Institucional</t>
  </si>
  <si>
    <t>130-132-00</t>
  </si>
  <si>
    <t>130_132_00_Subcoordinacion_de_Enlace_Institucional</t>
  </si>
  <si>
    <t>Subcoordinacion de Enlace Institucional</t>
  </si>
  <si>
    <t>CDMX-Subcoordinacion de Evaluacion de Politicas Institucionales</t>
  </si>
  <si>
    <t>130_131_00_Subcoordinacion_de_Evaluacion_de_Politicas_Institucionales</t>
  </si>
  <si>
    <t>Subcoordinacion de Evaluacion de Politicas Institucionales</t>
  </si>
  <si>
    <t>Ignacio L. Vallarta No. 1 Piso 5 Col. Tabacalera</t>
  </si>
  <si>
    <t>Aguascalientes-Subdelegacion de Administracion</t>
  </si>
  <si>
    <t>001-140-00</t>
  </si>
  <si>
    <t>001_140_00_Subdelegacion_de_Administracion</t>
  </si>
  <si>
    <t>Subdelegacion de Administracion</t>
  </si>
  <si>
    <t>Baja California Sur-Subdelegacion de Administracion</t>
  </si>
  <si>
    <t>003-140-00</t>
  </si>
  <si>
    <t>003_140_00_Subdelegacion_de_Administracion</t>
  </si>
  <si>
    <t>Baja California-Subdelegacion de Administracion</t>
  </si>
  <si>
    <t>002-140-00</t>
  </si>
  <si>
    <t>002_140_00_Subdelegacion_de_Administracion</t>
  </si>
  <si>
    <t>Campeche-Subdelegacion de Administracion</t>
  </si>
  <si>
    <t>004-140-00</t>
  </si>
  <si>
    <t>004_140_00_Subdelegacion_de_Administracion</t>
  </si>
  <si>
    <t>Chiapas-Subdelegacion de Administracion</t>
  </si>
  <si>
    <t>007-140-00</t>
  </si>
  <si>
    <t>007_140_00_Subdelegacion_de_Administracion</t>
  </si>
  <si>
    <t>Chihuahua-Subdelegacion de Administracion</t>
  </si>
  <si>
    <t>008-140-00</t>
  </si>
  <si>
    <t>008_140_00_Subdelegacion_de_Administracion</t>
  </si>
  <si>
    <t>Coahuila-Subdelegacion de Administracion</t>
  </si>
  <si>
    <t>005-140-00</t>
  </si>
  <si>
    <t>005_140_00_Subdelegacion_de_Administracion</t>
  </si>
  <si>
    <t>Colima-Subdelegacion de Administracion</t>
  </si>
  <si>
    <t>006-140-00</t>
  </si>
  <si>
    <t>006_140_00_Subdelegacion_de_Administracion</t>
  </si>
  <si>
    <t>Durango-Subdelegacion de Administracion</t>
  </si>
  <si>
    <t>010-140-00</t>
  </si>
  <si>
    <t>010_140_00_Subdelegacion_de_Administracion</t>
  </si>
  <si>
    <t>Estado de Mexico-Subdelegacion de Administracion</t>
  </si>
  <si>
    <t>015-140-00</t>
  </si>
  <si>
    <t>015_140_00_Subdelegacion_de_Administracion</t>
  </si>
  <si>
    <t>Guanajuato-Subdelegacion de Administracion</t>
  </si>
  <si>
    <t>011-140-00</t>
  </si>
  <si>
    <t>011_140_00_Subdelegacion_de_Administracion</t>
  </si>
  <si>
    <t>Guerrero-Subdelegacion de Administracion</t>
  </si>
  <si>
    <t>012-140-00</t>
  </si>
  <si>
    <t>012_140_00_Subdelegacion_de_Administracion</t>
  </si>
  <si>
    <t>Hidalgo-Subdelegacion de Administracion</t>
  </si>
  <si>
    <t>013-140-00</t>
  </si>
  <si>
    <t>013_140_00_Subdelegacion_de_Administracion</t>
  </si>
  <si>
    <t>Jalisco-Subdelegacion de Administracion</t>
  </si>
  <si>
    <t>014-140-00</t>
  </si>
  <si>
    <t>014_140_00_Subdelegacion_de_Administracion</t>
  </si>
  <si>
    <t>Michoacan-Subdelegacion de Administracion</t>
  </si>
  <si>
    <t>016-140-00</t>
  </si>
  <si>
    <t>016_140_00_Subdelegacion_de_Administracion</t>
  </si>
  <si>
    <t>Morelos-Subdelegacion de Administracion</t>
  </si>
  <si>
    <t>017-140-00</t>
  </si>
  <si>
    <t>017_140_00_Subdelegacion_de_Administracion</t>
  </si>
  <si>
    <t>Nayarit-Subdelegacion de Administracion</t>
  </si>
  <si>
    <t>018-140-00</t>
  </si>
  <si>
    <t>018_140_00_Subdelegacion_de_Administracion</t>
  </si>
  <si>
    <t>Nuevo Leon-Subdelegacion de Administracion</t>
  </si>
  <si>
    <t>019-140-00</t>
  </si>
  <si>
    <t>019_140_00_Subdelegacion_de_Administracion</t>
  </si>
  <si>
    <t>Oaxaca-Subdelegacion de Administracion</t>
  </si>
  <si>
    <t>020-140-00</t>
  </si>
  <si>
    <t>020_140_00_Subdelegacion_de_Administracion</t>
  </si>
  <si>
    <t>Puebla-Subdelegacion de Administracion</t>
  </si>
  <si>
    <t>021-140-00</t>
  </si>
  <si>
    <t>021_140_00_Subdelegacion_de_Administracion</t>
  </si>
  <si>
    <t>Queretaro-Subdelegacion de Administracion</t>
  </si>
  <si>
    <t>022-140-00</t>
  </si>
  <si>
    <t>022_140_00_Subdelegacion_de_Administracion</t>
  </si>
  <si>
    <t>Quintana Roo-Subdelegacion de Administracion</t>
  </si>
  <si>
    <t>023-140-00</t>
  </si>
  <si>
    <t>023_140_00_Subdelegacion_de_Administracion</t>
  </si>
  <si>
    <t>San Luis Potosi-Subdelegacion de Administracion</t>
  </si>
  <si>
    <t>024-140-00</t>
  </si>
  <si>
    <t>024_140_00_Subdelegacion_de_Administracion</t>
  </si>
  <si>
    <t>Sinaloa-Subdelegacion de Administracion</t>
  </si>
  <si>
    <t>025-140-00</t>
  </si>
  <si>
    <t>025_140_00_Subdelegacion_de_Administracion</t>
  </si>
  <si>
    <t>Sonora-Subdelegacion de Administracion</t>
  </si>
  <si>
    <t>026-140-00</t>
  </si>
  <si>
    <t>026_140_00_Subdelegacion_de_Administracion</t>
  </si>
  <si>
    <t>Tabasco-Subdelegacion de Administracion</t>
  </si>
  <si>
    <t>027-140-00</t>
  </si>
  <si>
    <t>027_140_00_Subdelegacion_de_Administracion</t>
  </si>
  <si>
    <t>Tamaulipas-Subdelegacion de Administracion</t>
  </si>
  <si>
    <t>028-140-00</t>
  </si>
  <si>
    <t>028_140_00_Subdelegacion_de_Administracion</t>
  </si>
  <si>
    <t>Tlaxcala-Subdelegacion de Administracion</t>
  </si>
  <si>
    <t>029-140-00</t>
  </si>
  <si>
    <t>029_140_00_Subdelegacion_de_Administracion</t>
  </si>
  <si>
    <t>Veracruz-Subdelegacion de Administracion</t>
  </si>
  <si>
    <t>030-140-00</t>
  </si>
  <si>
    <t>030_140_00_Subdelegacion_de_Administracion</t>
  </si>
  <si>
    <t>Yucatan-Subdelegacion de Administracion</t>
  </si>
  <si>
    <t>031-140-00</t>
  </si>
  <si>
    <t>031_140_00_Subdelegacion_de_Administracion</t>
  </si>
  <si>
    <t>Zacatecas-Subdelegacion de Administracion</t>
  </si>
  <si>
    <t>032-140-00</t>
  </si>
  <si>
    <t>032_140_00_Subdelegacion_de_Administracion</t>
  </si>
  <si>
    <t>CDMX-Subdelegacion de Administracion Regional Norte</t>
  </si>
  <si>
    <t>091-140-00</t>
  </si>
  <si>
    <t>091_140_00_Subdelegacion_de_Administracion_Regional_Norte</t>
  </si>
  <si>
    <t>Subdelegacion de Administracion Regional Norte</t>
  </si>
  <si>
    <t>CDMX-Subdelegacion de Administracion Regional Oriente</t>
  </si>
  <si>
    <t>092-140-00</t>
  </si>
  <si>
    <t>092_140_00_Subdelegacion_de_Administracion_Regional_Oriente</t>
  </si>
  <si>
    <t>Subdelegacion de Administracion Regional Oriente</t>
  </si>
  <si>
    <t>CDMX-Subdelegacion de Administracion Regional Poniente</t>
  </si>
  <si>
    <t>094-140-00</t>
  </si>
  <si>
    <t>094_140_00_Subdelegacion_de_Administracion_Regional_Poniente</t>
  </si>
  <si>
    <t>Subdelegacion de Administracion Regional Poniente</t>
  </si>
  <si>
    <t>CDMX-Subdelegacion de Administracion Regional Sur</t>
  </si>
  <si>
    <t>093-140-00</t>
  </si>
  <si>
    <t>093_140_00_Subdelegacion_de_Administracion_Regional_Sur</t>
  </si>
  <si>
    <t>Subdelegacion de Administracion Regional Sur</t>
  </si>
  <si>
    <t>CDMX-Subdelegacion de Prestaciones</t>
  </si>
  <si>
    <t>2387</t>
  </si>
  <si>
    <t>092-300-00</t>
  </si>
  <si>
    <t>092_300_00_Subdelegacion_de_Prestaciones</t>
  </si>
  <si>
    <t>Subdelegacion de Prestaciones</t>
  </si>
  <si>
    <t>Calz. Ignacio Zaragoza No. 1711 Col. Ejercito Constitucionalista</t>
  </si>
  <si>
    <t>Nuevo Leon-Subdelegacion de Prestaciones</t>
  </si>
  <si>
    <t>2027</t>
  </si>
  <si>
    <t>019-300-00</t>
  </si>
  <si>
    <t>019_300_00_Subdelegacion_de_Prestaciones</t>
  </si>
  <si>
    <t>Hidalgo No. 951 Pte Col. Centro</t>
  </si>
  <si>
    <t>Oaxaca-Subdelegacion de Prestaciones</t>
  </si>
  <si>
    <t>2866</t>
  </si>
  <si>
    <t>020-300-00</t>
  </si>
  <si>
    <t>020_300_00_Subdelegacion_de_Prestaciones</t>
  </si>
  <si>
    <t>Gardenias No 613 Col. Reforma</t>
  </si>
  <si>
    <t>Tamaulipas-Subdelegacion de Prestaciones</t>
  </si>
  <si>
    <t>2758</t>
  </si>
  <si>
    <t>028-300-00</t>
  </si>
  <si>
    <t>028_300_00_Subdelegacion_de_Prestaciones</t>
  </si>
  <si>
    <t>Blvd. Fidel Velazquez No. 2417 Int. 273 Prol Guerrero e Hidalgo Col. Tamaulipas</t>
  </si>
  <si>
    <t>Aguascalientes-Subdelegacion de Prestaciones</t>
  </si>
  <si>
    <t>001-300-00</t>
  </si>
  <si>
    <t>001_300_00_Subdelegacion_de_Prestaciones</t>
  </si>
  <si>
    <t>Baja California Sur-Subdelegacion de Prestaciones</t>
  </si>
  <si>
    <t>003-300-00</t>
  </si>
  <si>
    <t>003_300_00_Subdelegacion_de_Prestaciones</t>
  </si>
  <si>
    <t>Baja California-Subdelegacion de Prestaciones</t>
  </si>
  <si>
    <t>002-300-00</t>
  </si>
  <si>
    <t>002_300_00_Subdelegacion_de_Prestaciones</t>
  </si>
  <si>
    <t>Campeche-Subdelegacion de Prestaciones</t>
  </si>
  <si>
    <t>004-300-00</t>
  </si>
  <si>
    <t>004_300_00_Subdelegacion_de_Prestaciones</t>
  </si>
  <si>
    <t>Chiapas-Subdelegacion de Prestaciones</t>
  </si>
  <si>
    <t>007-200-00</t>
  </si>
  <si>
    <t>007_200_00_Subdelegacion_de_Prestaciones</t>
  </si>
  <si>
    <t>Chihuahua-Subdelegacion de Prestaciones</t>
  </si>
  <si>
    <t>008-300-00</t>
  </si>
  <si>
    <t>008_300_00_Subdelegacion_de_Prestaciones</t>
  </si>
  <si>
    <t>Coahuila-Subdelegacion de Prestaciones</t>
  </si>
  <si>
    <t>005-300-00</t>
  </si>
  <si>
    <t>005_300_00_Subdelegacion_de_Prestaciones</t>
  </si>
  <si>
    <t>Colima-Subdelegacion de Prestaciones</t>
  </si>
  <si>
    <t>006-300-00</t>
  </si>
  <si>
    <t>006_300_00_Subdelegacion_de_Prestaciones</t>
  </si>
  <si>
    <t>Durango-Subdelegacion de Prestaciones</t>
  </si>
  <si>
    <t>010-300-00</t>
  </si>
  <si>
    <t>010_300_00_Subdelegacion_de_Prestaciones</t>
  </si>
  <si>
    <t>Guanajuato-Subdelegacion de Prestaciones</t>
  </si>
  <si>
    <t>011-300-00</t>
  </si>
  <si>
    <t>011_300_00_Subdelegacion_de_Prestaciones</t>
  </si>
  <si>
    <t>Guerrero-Subdelegacion de Prestaciones</t>
  </si>
  <si>
    <t>012-300-00</t>
  </si>
  <si>
    <t>012_300_00_Subdelegacion_de_Prestaciones</t>
  </si>
  <si>
    <t>Hidalgo-Subdelegacion de Prestaciones</t>
  </si>
  <si>
    <t>013-300-00</t>
  </si>
  <si>
    <t>013_300_00_Subdelegacion_de_Prestaciones</t>
  </si>
  <si>
    <t>Jalisco-Subdelegacion de Prestaciones</t>
  </si>
  <si>
    <t>014-300-00</t>
  </si>
  <si>
    <t>014_300_00_Subdelegacion_de_Prestaciones</t>
  </si>
  <si>
    <t>Michoacan-Subdelegacion de Prestaciones</t>
  </si>
  <si>
    <t>016-300-00</t>
  </si>
  <si>
    <t>016_300_00_Subdelegacion_de_Prestaciones</t>
  </si>
  <si>
    <t>Morelos-Subdelegacion de Prestaciones</t>
  </si>
  <si>
    <t>017-300-00</t>
  </si>
  <si>
    <t>017_300_00_Subdelegacion_de_Prestaciones</t>
  </si>
  <si>
    <t>Nayarit-Subdelegacion de Prestaciones</t>
  </si>
  <si>
    <t>018-300-00</t>
  </si>
  <si>
    <t>018_300_00_Subdelegacion_de_Prestaciones</t>
  </si>
  <si>
    <t>Puebla-Subdelegacion de Prestaciones</t>
  </si>
  <si>
    <t>021-300-00</t>
  </si>
  <si>
    <t>021_300_00_Subdelegacion_de_Prestaciones</t>
  </si>
  <si>
    <t>Queretaro-Subdelegacion de Prestaciones</t>
  </si>
  <si>
    <t>022-200-00</t>
  </si>
  <si>
    <t>022_200_00_Subdelegacion_de_Prestaciones</t>
  </si>
  <si>
    <t>Quintana Roo-Subdelegacion de Prestaciones</t>
  </si>
  <si>
    <t>023-300-00</t>
  </si>
  <si>
    <t>023_300_00_Subdelegacion_de_Prestaciones</t>
  </si>
  <si>
    <t>San Luis Potosi-Subdelegacion de Prestaciones</t>
  </si>
  <si>
    <t>024-300-00</t>
  </si>
  <si>
    <t>024_300_00_Subdelegacion_de_Prestaciones</t>
  </si>
  <si>
    <t>Sinaloa-Subdelegacion de Prestaciones</t>
  </si>
  <si>
    <t>025-300-00</t>
  </si>
  <si>
    <t>025_300_00_Subdelegacion_de_Prestaciones</t>
  </si>
  <si>
    <t>Sonora-Subdelegacion de Prestaciones</t>
  </si>
  <si>
    <t>026-300-00</t>
  </si>
  <si>
    <t>026_300_00_Subdelegacion_de_Prestaciones</t>
  </si>
  <si>
    <t>Tabasco-Subdelegacion de Prestaciones</t>
  </si>
  <si>
    <t>027-300-00</t>
  </si>
  <si>
    <t>027_300_00_Subdelegacion_de_Prestaciones</t>
  </si>
  <si>
    <t>Tlaxcala-Subdelegacion de Prestaciones</t>
  </si>
  <si>
    <t>029-300-00</t>
  </si>
  <si>
    <t>029_300_00_Subdelegacion_de_Prestaciones</t>
  </si>
  <si>
    <t>Veracruz-Subdelegacion de Prestaciones</t>
  </si>
  <si>
    <t>030-300-00</t>
  </si>
  <si>
    <t>030_300_00_Subdelegacion_de_Prestaciones</t>
  </si>
  <si>
    <t>Yucatan-Subdelegacion de Prestaciones</t>
  </si>
  <si>
    <t>031-300-00</t>
  </si>
  <si>
    <t>031_300_00_Subdelegacion_de_Prestaciones</t>
  </si>
  <si>
    <t>Zacatecas-Subdelegacion de Prestaciones</t>
  </si>
  <si>
    <t>032-300-00</t>
  </si>
  <si>
    <t>032_300_00_Subdelegacion_de_Prestaciones</t>
  </si>
  <si>
    <t>Oaxaca-Subdelegacion Medica</t>
  </si>
  <si>
    <t>2865</t>
  </si>
  <si>
    <t>020-200-00</t>
  </si>
  <si>
    <t>020_200_00_Subdelegacion_Medica</t>
  </si>
  <si>
    <t>Subdelegacion Medica</t>
  </si>
  <si>
    <t>Rayon No. 411 entre 21 de Marzo y 5 de Febrero Col. 5 Senores</t>
  </si>
  <si>
    <t>Aguascalientes-Subdelegacion Medica</t>
  </si>
  <si>
    <t>001-200-00</t>
  </si>
  <si>
    <t>001_200_00_Subdelegacion_Medica</t>
  </si>
  <si>
    <t>Baja California Sur-Subdelegacion Medica</t>
  </si>
  <si>
    <t>003-200-00</t>
  </si>
  <si>
    <t>003_200_00_Subdelegacion_Medica</t>
  </si>
  <si>
    <t>Baja California-Subdelegacion Medica</t>
  </si>
  <si>
    <t>002-200-00</t>
  </si>
  <si>
    <t>002_200_00_Subdelegacion_Medica</t>
  </si>
  <si>
    <t>Campeche-Subdelegacion Medica</t>
  </si>
  <si>
    <t>004-200-00</t>
  </si>
  <si>
    <t>004_200_00_Subdelegacion_Medica</t>
  </si>
  <si>
    <t>Chiapas-Subdelegacion Medica</t>
  </si>
  <si>
    <t>007-300-00</t>
  </si>
  <si>
    <t>007_300_00_Subdelegacion_Medica</t>
  </si>
  <si>
    <t>Chihuahua-Subdelegacion Medica</t>
  </si>
  <si>
    <t>008-200-00</t>
  </si>
  <si>
    <t>008_200_00_Subdelegacion_Medica</t>
  </si>
  <si>
    <t>Coahuila-Subdelegacion Medica</t>
  </si>
  <si>
    <t>005-200-00</t>
  </si>
  <si>
    <t>005_200_00_Subdelegacion_Medica</t>
  </si>
  <si>
    <t>Colima-Subdelegacion Medica</t>
  </si>
  <si>
    <t>006-200-00</t>
  </si>
  <si>
    <t>006_200_00_Subdelegacion_Medica</t>
  </si>
  <si>
    <t>Durango-Subdelegacion Medica</t>
  </si>
  <si>
    <t>010-200-00</t>
  </si>
  <si>
    <t>010_200_00_Subdelegacion_Medica</t>
  </si>
  <si>
    <t>Estado de Mexico-Subdelegacion Medica</t>
  </si>
  <si>
    <t>015-200-00</t>
  </si>
  <si>
    <t>015_200_00_Subdelegacion_Medica</t>
  </si>
  <si>
    <t>Guanajuato-Subdelegacion Medica</t>
  </si>
  <si>
    <t>011-200-00</t>
  </si>
  <si>
    <t>011_200_00_Subdelegacion_Medica</t>
  </si>
  <si>
    <t>Guerrero-Subdelegacion Medica</t>
  </si>
  <si>
    <t>012-200-00</t>
  </si>
  <si>
    <t>012_200_00_Subdelegacion_Medica</t>
  </si>
  <si>
    <t>Hidalgo-Subdelegacion Medica</t>
  </si>
  <si>
    <t>013-200-00</t>
  </si>
  <si>
    <t>013_200_00_Subdelegacion_Medica</t>
  </si>
  <si>
    <t>Jalisco-Subdelegacion Medica</t>
  </si>
  <si>
    <t>014-200-00</t>
  </si>
  <si>
    <t>014_200_00_Subdelegacion_Medica</t>
  </si>
  <si>
    <t>Michoacan-Subdelegacion Medica</t>
  </si>
  <si>
    <t>016-200-00</t>
  </si>
  <si>
    <t>016_200_00_Subdelegacion_Medica</t>
  </si>
  <si>
    <t>Morelos-Subdelegacion Medica</t>
  </si>
  <si>
    <t>017-200-00</t>
  </si>
  <si>
    <t>017_200_00_Subdelegacion_Medica</t>
  </si>
  <si>
    <t>Nayarit-Subdelegacion Medica</t>
  </si>
  <si>
    <t>018-200-00</t>
  </si>
  <si>
    <t>018_200_00_Subdelegacion_Medica</t>
  </si>
  <si>
    <t>Nuevo Leon-Subdelegacion Medica</t>
  </si>
  <si>
    <t>019-200-00</t>
  </si>
  <si>
    <t>019_200_00_Subdelegacion_Medica</t>
  </si>
  <si>
    <t>Puebla-Subdelegacion Medica</t>
  </si>
  <si>
    <t>021-200-00</t>
  </si>
  <si>
    <t>021_200_00_Subdelegacion_Medica</t>
  </si>
  <si>
    <t>Queretaro-Subdelegacion Medica</t>
  </si>
  <si>
    <t>022-300-00</t>
  </si>
  <si>
    <t>022_300_00_Subdelegacion_Medica</t>
  </si>
  <si>
    <t>Quintana Roo-Subdelegacion Medica</t>
  </si>
  <si>
    <t>023-200-00</t>
  </si>
  <si>
    <t>023_200_00_Subdelegacion_Medica</t>
  </si>
  <si>
    <t>Sinaloa-Subdelegacion Medica</t>
  </si>
  <si>
    <t>025-200-00</t>
  </si>
  <si>
    <t>025_200_00_Subdelegacion_Medica</t>
  </si>
  <si>
    <t>Sonora-Subdelegacion Medica</t>
  </si>
  <si>
    <t>026-200-00</t>
  </si>
  <si>
    <t>026_200_00_Subdelegacion_Medica</t>
  </si>
  <si>
    <t>Tabasco-Subdelegacion Medica</t>
  </si>
  <si>
    <t>027-200-00</t>
  </si>
  <si>
    <t>027_200_00_Subdelegacion_Medica</t>
  </si>
  <si>
    <t>Tamaulipas-Subdelegacion Medica</t>
  </si>
  <si>
    <t>028-200-00</t>
  </si>
  <si>
    <t>028_200_00_Subdelegacion_Medica</t>
  </si>
  <si>
    <t>Tlaxcala-Subdelegacion Medica</t>
  </si>
  <si>
    <t>029-200-00</t>
  </si>
  <si>
    <t>029_200_00_Subdelegacion_Medica</t>
  </si>
  <si>
    <t>Veracruz-Subdelegacion Medica</t>
  </si>
  <si>
    <t>030-200-00</t>
  </si>
  <si>
    <t>030_200_00_Subdelegacion_Medica</t>
  </si>
  <si>
    <t>Yucatan-Subdelegacion Medica</t>
  </si>
  <si>
    <t>031-200-00</t>
  </si>
  <si>
    <t>031_200_00_Subdelegacion_Medica</t>
  </si>
  <si>
    <t>Zacatecas-Subdelegacion Medica</t>
  </si>
  <si>
    <t>032-200-00</t>
  </si>
  <si>
    <t>032_200_00_Subdelegacion_Medica</t>
  </si>
  <si>
    <t>CDMX-Subdelegacion Medica Regional Norte</t>
  </si>
  <si>
    <t>091-200-00</t>
  </si>
  <si>
    <t>091_200_00_Subdelegacion_Medica_Regional_Norte</t>
  </si>
  <si>
    <t>Subdelegacion Medica Regional Norte</t>
  </si>
  <si>
    <t>CDMX-Subdelegacion Medica Regional Oriente</t>
  </si>
  <si>
    <t>092-200-00</t>
  </si>
  <si>
    <t>092_200_00_Subdelegacion_Medica_Regional_Oriente</t>
  </si>
  <si>
    <t>Subdelegacion Medica Regional Oriente</t>
  </si>
  <si>
    <t>CDMX-Subdelegacion Medica Regional Poniente</t>
  </si>
  <si>
    <t>094-200-00</t>
  </si>
  <si>
    <t>094_200_00_Subdelegacion_Medica_Regional_Poniente</t>
  </si>
  <si>
    <t>Subdelegacion Medica Regional Poniente</t>
  </si>
  <si>
    <t>CDMX-Subdelegacion Medica Regional Sur</t>
  </si>
  <si>
    <t>093-200-00</t>
  </si>
  <si>
    <t>093_200_00_Subdelegacion_Medica_Regional_Sur</t>
  </si>
  <si>
    <t>Subdelegacion Medica Regional Sur</t>
  </si>
  <si>
    <t>CDMX-Subdireccion de Abasto de Insumos Medicos</t>
  </si>
  <si>
    <t>140-159-00</t>
  </si>
  <si>
    <t>140_159_00_Subdireccion_de_Abasto_de_Insumos_Medicos</t>
  </si>
  <si>
    <t>Subdireccion de Abasto de Insumos Medicos</t>
  </si>
  <si>
    <t>CDMX-Subdireccion de Administracion de Riesgos Institucionales y Fianzas</t>
  </si>
  <si>
    <t>120-131-00</t>
  </si>
  <si>
    <t>120_131_00_Subdireccion_de_Administracion_de_Riesgos_Institucionales_y_Fianzas</t>
  </si>
  <si>
    <t>Subdireccion de Administracion de Riesgos Institucionales y Fianzas</t>
  </si>
  <si>
    <t>Jesus Garcia Corona No. 140 Piso 4 Ala B, Col. Buenavista</t>
  </si>
  <si>
    <t>CDMX-Subdireccion de Afiliacion y Vigencia de Derechos</t>
  </si>
  <si>
    <t>180-182-00</t>
  </si>
  <si>
    <t>180_182_00_Subdireccion_de_Afiliacion_y_Vigencia_de_Derechos</t>
  </si>
  <si>
    <t>Subdireccion de Afiliacion y Vigencia de Derechos</t>
  </si>
  <si>
    <t>Jesus Garcia Corona No. 140 Piso 2  Ala A y B, Col. Buenavista</t>
  </si>
  <si>
    <t>CDMX-Subdireccion de Almacenes</t>
  </si>
  <si>
    <t>140-143-00</t>
  </si>
  <si>
    <t>140_143_00_Subdireccion_de_Almacenes</t>
  </si>
  <si>
    <t>Subdireccion de Almacenes</t>
  </si>
  <si>
    <t>CDMX-Subdireccion de Aseguramiento de la Salud</t>
  </si>
  <si>
    <t>120-128-00</t>
  </si>
  <si>
    <t>120_128_00_Subdireccion_de_Aseguramiento_de_la__Salud</t>
  </si>
  <si>
    <t>Subdireccion de Aseguramiento de la Salud</t>
  </si>
  <si>
    <t>CDMX-Subdireccion de Atencion al Derechohabiente</t>
  </si>
  <si>
    <t>180-183-00</t>
  </si>
  <si>
    <t>180_183_00_Subdireccion_de_Atencion_al__Derechohabiente</t>
  </si>
  <si>
    <t>Subdireccion de Atencion al Derechohabiente</t>
  </si>
  <si>
    <t>Jesus Garcia Corona No. 140 Piso 5 Ala A B C, Col. Buenavista</t>
  </si>
  <si>
    <t>CDMX-Subdireccion de Capacitacion y Servicios Educativos</t>
  </si>
  <si>
    <t>3023</t>
  </si>
  <si>
    <t>300-309-00</t>
  </si>
  <si>
    <t>300_309_00_Subdireccion_de_Capacitacion_y_Servicios_Educativos</t>
  </si>
  <si>
    <t>Subdireccion de Capacitacion y Servicios Educativos</t>
  </si>
  <si>
    <t>Dinamarca No. 79 1Er. Piso Col. Juarez</t>
  </si>
  <si>
    <t>06600</t>
  </si>
  <si>
    <t>CDMX-Subdireccion de Conservacion y Mantenimiento</t>
  </si>
  <si>
    <t>140-158-00</t>
  </si>
  <si>
    <t>140_158_00_Subdireccion_de_Conservacion_y_Mantenimiento</t>
  </si>
  <si>
    <t>Subdireccion de Conservacion y Mantenimiento</t>
  </si>
  <si>
    <t>CDMX-Subdireccion de Contaduria</t>
  </si>
  <si>
    <t>3891</t>
  </si>
  <si>
    <t>120-123-00</t>
  </si>
  <si>
    <t>120_123_00_Subdireccion_de_Contaduria</t>
  </si>
  <si>
    <t>Subdireccion de Contaduria</t>
  </si>
  <si>
    <t>CDMX-Subdireccion de Coordinacion de Proyectos</t>
  </si>
  <si>
    <t>_Subdireccion_de_Coordinacion_de_Proyectos</t>
  </si>
  <si>
    <t>Subdireccion de Coordinacion de Proyectos</t>
  </si>
  <si>
    <t>CDMX-Subdireccion de Finanzas y Administracio</t>
  </si>
  <si>
    <t>_Subdireccion_de_Finanzas_y_Administracio</t>
  </si>
  <si>
    <t>Subdireccion de Finanzas y Administracio</t>
  </si>
  <si>
    <t>CDMX-Subdireccion de Infraestructura</t>
  </si>
  <si>
    <t>200-202-00</t>
  </si>
  <si>
    <t>200_202_00_Subdireccion_de_Infraestructura</t>
  </si>
  <si>
    <t>Subdireccion de Infraestructura</t>
  </si>
  <si>
    <t>CDMX-Subdireccion de Innovacion y Calidad</t>
  </si>
  <si>
    <t>160-164-00</t>
  </si>
  <si>
    <t>160_164_00_Subdireccion_de_Innovacion_y_Calidad</t>
  </si>
  <si>
    <t>Subdireccion de Innovacion y Calidad</t>
  </si>
  <si>
    <t>CDMX-Subdireccion de Inversiones</t>
  </si>
  <si>
    <t>120-130-00</t>
  </si>
  <si>
    <t>120_130_00_Subdireccion_de_Inversiones</t>
  </si>
  <si>
    <t>Subdireccion de Inversiones</t>
  </si>
  <si>
    <t>CDMX-Subdireccion de la Coordinacion de Aseguramiento de los Servicios</t>
  </si>
  <si>
    <t>_Subdireccion_de_la_Coordinacion_de_Aseguramiento_de_los_Servicios</t>
  </si>
  <si>
    <t>Subdireccion de la Coordinacion de Aseguramiento de los Servicios</t>
  </si>
  <si>
    <t>CDMX-Subdireccion de la Coordinacion de Estudios Financieros y Actuariales</t>
  </si>
  <si>
    <t>_Subdireccion_de_la_Coordinacion_de_Estudios_Financieros_y_Actuariales</t>
  </si>
  <si>
    <t>Subdireccion de la Coordinacion de Estudios Financieros y Actuariales</t>
  </si>
  <si>
    <t>CDMX-Subdireccion de lo Consultivo</t>
  </si>
  <si>
    <t>600-605-00</t>
  </si>
  <si>
    <t>600_605_00_Subdireccion_de_lo_Consultivo</t>
  </si>
  <si>
    <t>Subdireccion de lo Consultivo</t>
  </si>
  <si>
    <t>Jesus Garcia Corona No. 140 Piso 9 Ala B, Col. Buenavista</t>
  </si>
  <si>
    <t>CDMX-Subdireccion de lo Contencioso</t>
  </si>
  <si>
    <t>600-602-00</t>
  </si>
  <si>
    <t>600_602_00_Subdireccion_de_lo_Contencioso</t>
  </si>
  <si>
    <t>Subdireccion de lo Contencioso</t>
  </si>
  <si>
    <t>Jesus Garcia Corona No. 140 Piso 3 Ala C, Col. Buenavista</t>
  </si>
  <si>
    <t>CDMX-Subdireccion de Obras y Contratacion</t>
  </si>
  <si>
    <t>140-157-00</t>
  </si>
  <si>
    <t>140_157_00_Subdireccion_de_Obras_y_Contratacion</t>
  </si>
  <si>
    <t>Subdireccion de Obras y Contratacion</t>
  </si>
  <si>
    <t>CDMX-Subdireccion de Operaciones y Sistemas</t>
  </si>
  <si>
    <t>_Subdireccion_de_Operaciones_y_Sistemas</t>
  </si>
  <si>
    <t>Subdireccion de Operaciones y Sistemas</t>
  </si>
  <si>
    <t>CDMX-Subdireccion de Otorgamiento de Credito</t>
  </si>
  <si>
    <t>300-303-00</t>
  </si>
  <si>
    <t>300_303_00_Subdireccion_de_Otorgamiento_de_Credito</t>
  </si>
  <si>
    <t>Subdireccion de Otorgamiento de Credito</t>
  </si>
  <si>
    <t>Jesus Garcia Corona No. 140 Piso 8 Ala A, Col. Buenavista</t>
  </si>
  <si>
    <t>CDMX-Subdireccion de Pensiones</t>
  </si>
  <si>
    <t>300-302-00</t>
  </si>
  <si>
    <t>300_302_00_Subdireccion_de_Pensiones</t>
  </si>
  <si>
    <t>Subdireccion de Pensiones</t>
  </si>
  <si>
    <t>Jesus Garcia Corona No. 140 Piso 11 Ala B, Col. Buenavista</t>
  </si>
  <si>
    <t>CDMX-Subdireccion de Personal</t>
  </si>
  <si>
    <t>140-153-00</t>
  </si>
  <si>
    <t>140_153_00_Subdireccion_de_Personal</t>
  </si>
  <si>
    <t>Subdireccion de Personal</t>
  </si>
  <si>
    <t>CDMX-Subdireccion de Planeacion Estrategica</t>
  </si>
  <si>
    <t>_Subdireccion_de_Planeacion_Estrategica</t>
  </si>
  <si>
    <t>Subdireccion de Planeacion Estrategica</t>
  </si>
  <si>
    <t>CDMX-Subdireccion de Prevencion y Proteccion a la Salud</t>
  </si>
  <si>
    <t>200-204-00</t>
  </si>
  <si>
    <t>200_204_00_Subdireccion_de__Prevencion_y_Proteccion_a_la_Salud</t>
  </si>
  <si>
    <t>Subdireccion de Prevencion y Proteccion a la Salud</t>
  </si>
  <si>
    <t>San Fernando No. 547 Piso 5, Col. Toriello Guerra</t>
  </si>
  <si>
    <t>CDMX-Subdireccion de Programacion y Presupuesto</t>
  </si>
  <si>
    <t>140-160-00</t>
  </si>
  <si>
    <t>140_160_00_Subdireccion_de_Programacion_y_Presupuesto</t>
  </si>
  <si>
    <t>Subdireccion de Programacion y Presupuesto</t>
  </si>
  <si>
    <t>CDMX-Subdireccion de Recursos Materiales y Servicios</t>
  </si>
  <si>
    <t>140-156-00</t>
  </si>
  <si>
    <t>140_156_00_Subdireccion_de_Recursos_Materiales_y_Servicios</t>
  </si>
  <si>
    <t>Subdireccion de Recursos Materiales y Servicios</t>
  </si>
  <si>
    <t>CDMX-Subdireccion Regulacion y de Atencion Hospitalaria</t>
  </si>
  <si>
    <t>200-203-00</t>
  </si>
  <si>
    <t>200_203_00_Subdireccion_Regulacion_y_de_Atencion_Hospitalaria</t>
  </si>
  <si>
    <t>Subdireccion de Regulacion y de Atencion Hospitalaria</t>
  </si>
  <si>
    <t>San Fernando No. 547 Piso 1, Col. Toriello Guerra</t>
  </si>
  <si>
    <t>CDMX-Subdireccion de Relaciones Internacionales</t>
  </si>
  <si>
    <t>180-185-00</t>
  </si>
  <si>
    <t>180_185_00_Subdireccion_de_Relaciones_Internacionales</t>
  </si>
  <si>
    <t>Subdireccion de Relaciones Internacionales</t>
  </si>
  <si>
    <t>CDMX-Subdireccion de Servicios Sociales y Culturales</t>
  </si>
  <si>
    <t>300-304-00</t>
  </si>
  <si>
    <t>300_304_00_Subdireccion_de_Servicios_Sociales_y_Culturales</t>
  </si>
  <si>
    <t>Subdireccion de Servicios Sociales y Culturales</t>
  </si>
  <si>
    <t>CDMX-Subdireccion de Tecnologia de la Informacion</t>
  </si>
  <si>
    <t>160-163-00</t>
  </si>
  <si>
    <t>160_163_00_Subdireccion_de_Tecnologia_de_la_Informacion</t>
  </si>
  <si>
    <t>Subdireccion de Tecnologia de la Informacion</t>
  </si>
  <si>
    <t>CDMX-Subdireccion Especializada de Atencion A</t>
  </si>
  <si>
    <t>_Subdireccion_Especializada_de_Atencion_A</t>
  </si>
  <si>
    <t>Subdireccion Especializada de Atencion A</t>
  </si>
  <si>
    <t>CDMX-Subdireccion Gestion y Evaluacion en Salud</t>
  </si>
  <si>
    <t>200-205-00</t>
  </si>
  <si>
    <t>200_205_00_Subdireccion_Gestion_y_Evaluacion_en_Salud</t>
  </si>
  <si>
    <t>Subdireccion Gestion y Evaluacion en Salud</t>
  </si>
  <si>
    <t>San Fernando No. 547 Piso 3, Col. Toriello Guerra</t>
  </si>
  <si>
    <t>CDMX-Subdireccion Juridica</t>
  </si>
  <si>
    <t>_Subdireccion_Juridica</t>
  </si>
  <si>
    <t>Subdireccion Juridica</t>
  </si>
  <si>
    <t>CDMX-SUPERISSSTE San Fernando No 12</t>
  </si>
  <si>
    <t>3018</t>
  </si>
  <si>
    <t>500-504-00</t>
  </si>
  <si>
    <t>500_504_00_SUPERISSSTE_San_Fernando_No_12</t>
  </si>
  <si>
    <t>SUPERISSSTE San Fernando No 12</t>
  </si>
  <si>
    <t>Cjon. Via San Fernado No. 12 Col. Isidro Fabela</t>
  </si>
  <si>
    <t>CDMX-SUPERISSSTE San Fernando No 15</t>
  </si>
  <si>
    <t>2810</t>
  </si>
  <si>
    <t>500-506-00</t>
  </si>
  <si>
    <t>500_506_00_SUPERISSSTE_San_Fernando_No_15</t>
  </si>
  <si>
    <t>SUPERISSSTE San Fernando No 15</t>
  </si>
  <si>
    <t>CDMX-SUPERISSSTE San Fernando No 547</t>
  </si>
  <si>
    <t>2615</t>
  </si>
  <si>
    <t>500-501-00</t>
  </si>
  <si>
    <t>500_501_00_SUPERISSSTE_San_Fernando_No_547</t>
  </si>
  <si>
    <t>SUPERISSSTE San Fernando No 547</t>
  </si>
  <si>
    <t>San Fernado 547 Edif. B Piso 1 Col. Toriello Guerra</t>
  </si>
  <si>
    <t>Jalisco-Taller de Terapia Ocupacional</t>
  </si>
  <si>
    <t>2680</t>
  </si>
  <si>
    <t>_Taller_de_Terapia_Ocupacional</t>
  </si>
  <si>
    <t>Taller de Terapia Ocupacional</t>
  </si>
  <si>
    <t>Gigantes No. 2669 Col. San Andres</t>
  </si>
  <si>
    <t>CDMX-Tesoreria General</t>
  </si>
  <si>
    <t>120-125-00</t>
  </si>
  <si>
    <t>120_125_00_Tesoreria_General</t>
  </si>
  <si>
    <t>Tesoreria General</t>
  </si>
  <si>
    <t>CDMX-Tienda No 11 Peluqueros</t>
  </si>
  <si>
    <t>092-508-00</t>
  </si>
  <si>
    <t>092_508_00_Tienda_No_11_Peluqueros</t>
  </si>
  <si>
    <t>TDA</t>
  </si>
  <si>
    <t>Tienda No 11 Peluqueros</t>
  </si>
  <si>
    <t>Peluqueros No. 310 Col. Michoacana</t>
  </si>
  <si>
    <t>CDMX-Tienda No 110 CC Villa Coapa</t>
  </si>
  <si>
    <t>2418</t>
  </si>
  <si>
    <t>093-517-00</t>
  </si>
  <si>
    <t>093_517_00_Tienda_No_110_CC_Villa_Coapa</t>
  </si>
  <si>
    <t>Tienda No 110 CC Villa Coapa</t>
  </si>
  <si>
    <t>Av. Tepetlapa SN Col. Alianza Popular Revolucionaria</t>
  </si>
  <si>
    <t>Jalisco-Tienda No 114 Tlaquepaque</t>
  </si>
  <si>
    <t>2211</t>
  </si>
  <si>
    <t>014-505-00</t>
  </si>
  <si>
    <t>014_505_00_Tienda_No_114_Tlaquepaque</t>
  </si>
  <si>
    <t>Tienda No 114 Tlaquepaque</t>
  </si>
  <si>
    <t>Blvd. Gral. Marcelino Garcia Barragan No. 1261 Col. Olimpica</t>
  </si>
  <si>
    <t>Tlaquepaque</t>
  </si>
  <si>
    <t>Tlaxcala-Tienda No 115 Tlaxcala</t>
  </si>
  <si>
    <t>2498</t>
  </si>
  <si>
    <t>029-501-00</t>
  </si>
  <si>
    <t>029_501_00_Tienda_No_115_Tlaxcala</t>
  </si>
  <si>
    <t>Tienda No 115 Tlaxcala</t>
  </si>
  <si>
    <t>Baja California Sur-Tienda No 122 de Constitucion</t>
  </si>
  <si>
    <t>2904</t>
  </si>
  <si>
    <t>003-502-00</t>
  </si>
  <si>
    <t>003_502_00_Tienda_No_122_de_Constitucion</t>
  </si>
  <si>
    <t>Tienda No 122 de Constitucion</t>
  </si>
  <si>
    <t>Ninos Heroes SN entre Lorenzo de Tspia y Capoitan Morales Col. Pueblo Nuevo</t>
  </si>
  <si>
    <t>Cd Constitucion</t>
  </si>
  <si>
    <t>Oaxaca-Tienda No 128 Juchitan de Zaragoza</t>
  </si>
  <si>
    <t>3208</t>
  </si>
  <si>
    <t>020-502-00</t>
  </si>
  <si>
    <t>020_502_00_Tienda_No_128_Juchitan_de_Zaragoza</t>
  </si>
  <si>
    <t>Tienda No 128 Juchitan de Zaragoza</t>
  </si>
  <si>
    <t>2 de Noviembre SN Esq. Almada 2A. Seccion Col. 2A. Seccion</t>
  </si>
  <si>
    <t>Juchitan</t>
  </si>
  <si>
    <t>Guanajuato-Tienda No 13 Guanajuato</t>
  </si>
  <si>
    <t>3040</t>
  </si>
  <si>
    <t>011-501-00</t>
  </si>
  <si>
    <t>011_501_00_Tienda_No_13_Guanajuato</t>
  </si>
  <si>
    <t>Tienda No 13 Guanajuato</t>
  </si>
  <si>
    <t>Alhondiga de Granaditas No. 5 Col. Centro</t>
  </si>
  <si>
    <t>Guanajuato-Tienda No 135 Dolores Hidalgo</t>
  </si>
  <si>
    <t>3036</t>
  </si>
  <si>
    <t>011-506-00</t>
  </si>
  <si>
    <t>011_506_00_Tienda_No_135_Dolores_Hidalgo</t>
  </si>
  <si>
    <t>Tienda No 135 Dolores Hidalgo</t>
  </si>
  <si>
    <t>Rio Batan SN Col. Fovissste</t>
  </si>
  <si>
    <t>Hidalgo-Tienda No 136 Huejutla</t>
  </si>
  <si>
    <t>3115</t>
  </si>
  <si>
    <t>013-503-00</t>
  </si>
  <si>
    <t>013_503_00_Tienda_No_136_Huejutla</t>
  </si>
  <si>
    <t>Tienda No 136 Huejutla</t>
  </si>
  <si>
    <t>Carr. Mexico Tampico SN  Km. 216 Col. Los Cantores</t>
  </si>
  <si>
    <t>Puebla-Tienda No 143 Izucar de Matamoros</t>
  </si>
  <si>
    <t>3244</t>
  </si>
  <si>
    <t>021-506-00</t>
  </si>
  <si>
    <t>021_506_00_Tienda_No_143_Izucar_de_Matamoros</t>
  </si>
  <si>
    <t>Tienda No 143 Izucar de Matamoros</t>
  </si>
  <si>
    <t>Prol. Miguel Hidalgo SN Col. Barrio San Bernardino</t>
  </si>
  <si>
    <t>Izucar de Matamoros</t>
  </si>
  <si>
    <t>Chiapas-Tienda No 147 Ocosingo</t>
  </si>
  <si>
    <t>2954</t>
  </si>
  <si>
    <t>007-506-00</t>
  </si>
  <si>
    <t>007_506_00_Tienda_No_147_Ocosingo</t>
  </si>
  <si>
    <t>Tienda No 147 Ocosingo</t>
  </si>
  <si>
    <t>2 entre 3 y 4 Poniente Col. Centro</t>
  </si>
  <si>
    <t>Ocosingo</t>
  </si>
  <si>
    <t>Baja California-Tienda No 149 CC Mexicali</t>
  </si>
  <si>
    <t>2329</t>
  </si>
  <si>
    <t>002-503-00</t>
  </si>
  <si>
    <t>002_503_00_Tienda_No_149_CC_Mexicali</t>
  </si>
  <si>
    <t>Tienda No 149 CC Mexicali</t>
  </si>
  <si>
    <t>Blvd. Francisco L. Montejano SN Col. Fovissste</t>
  </si>
  <si>
    <t>Tlaxcala-Tienda No 151 Huamantla</t>
  </si>
  <si>
    <t>2508</t>
  </si>
  <si>
    <t>029-502-00</t>
  </si>
  <si>
    <t>029_502_00_Tienda_No_151_Huamantla</t>
  </si>
  <si>
    <t>Tienda No 151 Huamantla</t>
  </si>
  <si>
    <t>Rio Barcenas SN Col. Progreso</t>
  </si>
  <si>
    <t>Huamantla</t>
  </si>
  <si>
    <t>Queretaro-Tienda No 153 San Juan del Rio</t>
  </si>
  <si>
    <t>2720</t>
  </si>
  <si>
    <t>022-502-00</t>
  </si>
  <si>
    <t>022_502_00_Tienda_No_153_San_Juan_del_Rio</t>
  </si>
  <si>
    <t>Tienda No 153 San Juan del Rio</t>
  </si>
  <si>
    <t>Prol. 5 de Mayo Esq. Pino Suarez Col. Centro</t>
  </si>
  <si>
    <t>San Juan del Rio</t>
  </si>
  <si>
    <t>Guerrero-Tienda No 154 Ciudad Altamirano</t>
  </si>
  <si>
    <t>3074</t>
  </si>
  <si>
    <t>012-506-00</t>
  </si>
  <si>
    <t>012_506_00_Tienda_No_154_Ciudad_Altamirano</t>
  </si>
  <si>
    <t>Tienda No 154 Ciudad Altamirano</t>
  </si>
  <si>
    <t>Av. Agustin Ramirez SN Col. Barrio de Tlapa</t>
  </si>
  <si>
    <t>CDMX-Tienda No 159 CC Zaragoza</t>
  </si>
  <si>
    <t>2392</t>
  </si>
  <si>
    <t>092-521-00</t>
  </si>
  <si>
    <t>092_521_00_Tienda_No_159_CC_Zaragoza</t>
  </si>
  <si>
    <t>Tienda No 159 CC Zaragoza</t>
  </si>
  <si>
    <t>Calz. Ignacio Zaragoza No. 1711 Col. Tepalcates</t>
  </si>
  <si>
    <t>San Luis Potosi-Tienda No 16 San Luis Potosi</t>
  </si>
  <si>
    <t>2476</t>
  </si>
  <si>
    <t>024-501-00</t>
  </si>
  <si>
    <t>024_501_00_Tienda_No_16_San_Luis_Potosi</t>
  </si>
  <si>
    <t>Tienda No 16 San Luis Potosi</t>
  </si>
  <si>
    <t>Av. Himno Nacional y Recursos Hidraulicos SN Col. Burocratas</t>
  </si>
  <si>
    <t>Guanajuato-Tienda No 166 ScC Celaya</t>
  </si>
  <si>
    <t>2196</t>
  </si>
  <si>
    <t>011-507-00</t>
  </si>
  <si>
    <t>011_507_00_Tienda_No_166_ScC_Celaya</t>
  </si>
  <si>
    <t>Tienda No 166 ScC Celaya</t>
  </si>
  <si>
    <t>Alvaro Tezozomoc y Av. Joaquin Garcia Col. Independencia Fovissste</t>
  </si>
  <si>
    <t>Zacatecas-Tienda No 167 ScC Zacatecas</t>
  </si>
  <si>
    <t>2792</t>
  </si>
  <si>
    <t>032-502-00</t>
  </si>
  <si>
    <t>032_502_00_Tienda_No_167_ScC_Zacatecas</t>
  </si>
  <si>
    <t>Tienda No 167 ScC Zacatecas</t>
  </si>
  <si>
    <t>Aguascalientes-Tienda No 168 CC Aguascalientes</t>
  </si>
  <si>
    <t>2159</t>
  </si>
  <si>
    <t>001-501-00</t>
  </si>
  <si>
    <t>001_501_00_Tienda_No_168_CC_Aguascalientes</t>
  </si>
  <si>
    <t>Tienda No 168 CC Aguascalientes</t>
  </si>
  <si>
    <t>Prol. Zaragoza Esq. Rio Morzinique SN Col. San Pablo</t>
  </si>
  <si>
    <t>Nuevo Leon-Tienda No 170 CC Burocratas Fed Monterrey</t>
  </si>
  <si>
    <t>2238</t>
  </si>
  <si>
    <t>019-191-00</t>
  </si>
  <si>
    <t>019_191_00_Tienda_No_170_CC_Burocratas_Fed_Monterrey</t>
  </si>
  <si>
    <t>Tienda No 170 CC Burocratas Fed Monterrey</t>
  </si>
  <si>
    <t>Av. Lopez Mateos y Ret. 4 SN Col. Burëcratas Federales</t>
  </si>
  <si>
    <t>Yucatan-Tienda No 174 Col Pensiones Merida</t>
  </si>
  <si>
    <t>2529</t>
  </si>
  <si>
    <t>031-192-00</t>
  </si>
  <si>
    <t>031_192_00_Tienda_No_174_Col_Pensiones_Merida</t>
  </si>
  <si>
    <t>Tienda No 174 Col Pensiones Merida</t>
  </si>
  <si>
    <t>5 SN Col. Pensiones</t>
  </si>
  <si>
    <t>Queretaro-Tienda No 18 Queretaro</t>
  </si>
  <si>
    <t>2257</t>
  </si>
  <si>
    <t>022-501-00</t>
  </si>
  <si>
    <t>022_501_00_Tienda_No_18_Queretaro</t>
  </si>
  <si>
    <t>Tienda No 18 Queretaro</t>
  </si>
  <si>
    <t>Radiodifusora No. 10 Esq. Con Pedro Moreno Col. Centro</t>
  </si>
  <si>
    <t>Hidalgo-Tienda No 194 Ixmiquilpan</t>
  </si>
  <si>
    <t>3114</t>
  </si>
  <si>
    <t>013-504-00</t>
  </si>
  <si>
    <t>013_504_00_Tienda_No_194_Ixmiquilpan</t>
  </si>
  <si>
    <t>Tienda No 194 Ixmiquilpan</t>
  </si>
  <si>
    <t>Benjamin Garcia Sn Col. Centro</t>
  </si>
  <si>
    <t>CDMX-Tienda No 2 Tacubaya</t>
  </si>
  <si>
    <t>2131</t>
  </si>
  <si>
    <t>094-502-00</t>
  </si>
  <si>
    <t>094_502_00_Tienda_No_2_Tacubaya</t>
  </si>
  <si>
    <t>Tienda No 2 Tacubaya</t>
  </si>
  <si>
    <t>Vicente Eguia No. 62 Col. San Miguel Chapultepec</t>
  </si>
  <si>
    <t>Nayarit-Tienda No 212 Rosamorada</t>
  </si>
  <si>
    <t>3177</t>
  </si>
  <si>
    <t>018-506-00</t>
  </si>
  <si>
    <t>018_506_00_Tienda_No_212_Rosamorada</t>
  </si>
  <si>
    <t>Tienda No 212 Rosamorada</t>
  </si>
  <si>
    <t>Mexico SN Esq. Juan Escutia Col. Centro</t>
  </si>
  <si>
    <t>Rosamorada</t>
  </si>
  <si>
    <t>CDMX-Tienda No 22 Taller Balbuena</t>
  </si>
  <si>
    <t>2389</t>
  </si>
  <si>
    <t>092-510-00</t>
  </si>
  <si>
    <t>092_510_00_Tienda_No_22_Taller_Balbuena</t>
  </si>
  <si>
    <t>Tienda No 22 Taller Balbuena</t>
  </si>
  <si>
    <t>Av. del Taller y Retorno No. 38 Col. Jardin Balbuena</t>
  </si>
  <si>
    <t>Coahuila-Tienda No 222 ScC Saltillo</t>
  </si>
  <si>
    <t>2090</t>
  </si>
  <si>
    <t>005-507-00</t>
  </si>
  <si>
    <t>005_507_00_Tienda_No_222_ScC_Saltillo</t>
  </si>
  <si>
    <t>Tienda No 222 ScC Saltillo</t>
  </si>
  <si>
    <t>Blvd. Nazario Ortiz Garza SN Col. Topochico</t>
  </si>
  <si>
    <t>Hidalgo-Tienda No 229 Pachuca</t>
  </si>
  <si>
    <t>2844</t>
  </si>
  <si>
    <t>013-505-00</t>
  </si>
  <si>
    <t>013_505_00_Tienda_No_229_Pachuca</t>
  </si>
  <si>
    <t>Tienda No 229 Pachuca</t>
  </si>
  <si>
    <t>Jose Maria Iglesias No. 202 Col. Morelos</t>
  </si>
  <si>
    <t>Morelos-Tienda No 233 Cuernavaca</t>
  </si>
  <si>
    <t>2463</t>
  </si>
  <si>
    <t>017-191-00</t>
  </si>
  <si>
    <t>017_191_00_Tienda_No_233_Cuernavaca</t>
  </si>
  <si>
    <t>Tienda No 233 Cuernavaca</t>
  </si>
  <si>
    <t>Cuauhtemotzin No. 26 Col. Centro</t>
  </si>
  <si>
    <t>Puebla-Tienda No 238 ScC Puebla</t>
  </si>
  <si>
    <t>2248</t>
  </si>
  <si>
    <t>021-508-00</t>
  </si>
  <si>
    <t>021_508_00_Tienda_No_238_ScC_Puebla</t>
  </si>
  <si>
    <t>Tienda No 238 ScC Puebla</t>
  </si>
  <si>
    <t>Carr. A Metepec SN Col. Atlixco Centro</t>
  </si>
  <si>
    <t>Heroica Puebla de Zaragoza</t>
  </si>
  <si>
    <t>Estado de Mexico-Tienda No 24 Chapingo</t>
  </si>
  <si>
    <t>2447</t>
  </si>
  <si>
    <t>015-502-00</t>
  </si>
  <si>
    <t>015_502_00_Tienda_No_24_Chapingo</t>
  </si>
  <si>
    <t>Tienda No 24 Chapingo</t>
  </si>
  <si>
    <t>Luis Juarez SN Esq. David Alfaro Siqueiros Col. Emiliano Zapata</t>
  </si>
  <si>
    <t>Quintana Roo-Tienda No 240 Chetumal</t>
  </si>
  <si>
    <t>2873</t>
  </si>
  <si>
    <t>023-504-00</t>
  </si>
  <si>
    <t>023_504_00_Tienda_No_240_Chetumal</t>
  </si>
  <si>
    <t>Tienda No 240 Chetumal</t>
  </si>
  <si>
    <t>Av. Venustiano Carranza Esq. Genova Campestre Col. Italia</t>
  </si>
  <si>
    <t>CDMX-Tienda No 249 Tepepan</t>
  </si>
  <si>
    <t>2422</t>
  </si>
  <si>
    <t>093-522-00</t>
  </si>
  <si>
    <t>093_522_00_Tienda_No_249_Tepepan</t>
  </si>
  <si>
    <t>Tienda No 249 Tepepan</t>
  </si>
  <si>
    <t>Calz. Mex Xoch. No. 5713 Col. La Noria</t>
  </si>
  <si>
    <t>CDMX-Tienda No 252 CC Hacienda</t>
  </si>
  <si>
    <t>2369</t>
  </si>
  <si>
    <t>091-532-00</t>
  </si>
  <si>
    <t>091_532_00_Tienda_No_252_CC_Hacienda</t>
  </si>
  <si>
    <t>Tienda No 252 CC Hacienda</t>
  </si>
  <si>
    <t>Manuel Tolsa No. 9 Col. Centro</t>
  </si>
  <si>
    <t>CDMX-Tienda No 265 CC Culhuacan Sagar</t>
  </si>
  <si>
    <t>2426</t>
  </si>
  <si>
    <t>093-538-00</t>
  </si>
  <si>
    <t>093_538_00_Tienda_No_265_CC_Culhuacan_Sagar</t>
  </si>
  <si>
    <t>Tienda No 265 CC Culhuacan Sagar</t>
  </si>
  <si>
    <t>Av. Santa Ana Esq. Canal Nacional SN Col. San Francisco Culhuacan</t>
  </si>
  <si>
    <t>04480</t>
  </si>
  <si>
    <t>Guerrero-Tienda No 274 Zihuatanejo</t>
  </si>
  <si>
    <t>3078</t>
  </si>
  <si>
    <t>012-524-00</t>
  </si>
  <si>
    <t>012_524_00_Tienda_No_274_Zihuatanejo</t>
  </si>
  <si>
    <t>Tienda No 274 Zihuatanejo</t>
  </si>
  <si>
    <t>Dr. Alarcon No. 3 Col. Centro</t>
  </si>
  <si>
    <t>Ayutla de los Libres</t>
  </si>
  <si>
    <t>Baja California-Tienda No 298 Mesa de Otay BC</t>
  </si>
  <si>
    <t>2076</t>
  </si>
  <si>
    <t>002-512-00</t>
  </si>
  <si>
    <t>002_512_00_Tienda_No_298_Mesa_de_Otay_BC</t>
  </si>
  <si>
    <t>Tienda No 298 Mesa de Otay BC</t>
  </si>
  <si>
    <t>Av. Ricardo Castro y Juventino Rosas SN Col. 3er Modulo Mesa de Otay</t>
  </si>
  <si>
    <t>Chiapas-Tienda No 33 Tuxtla Gutierrez</t>
  </si>
  <si>
    <t>2947</t>
  </si>
  <si>
    <t>007-501-00</t>
  </si>
  <si>
    <t>007_501_00_Tienda_No_33_Tuxtla_Gutierrez</t>
  </si>
  <si>
    <t>Tienda No 33 Tuxtla Gutierrez</t>
  </si>
  <si>
    <t>Av. 14 Poniente SN Esq. Periferico Sur Col. Burocratica Issste</t>
  </si>
  <si>
    <t>CDMX-Tienda No 4 Coyoacan</t>
  </si>
  <si>
    <t>2153</t>
  </si>
  <si>
    <t>093-503-00</t>
  </si>
  <si>
    <t>093_503_00_Tienda_No_4_Coyoacan</t>
  </si>
  <si>
    <t>Tienda No 4 Coyoacan</t>
  </si>
  <si>
    <t>Av. Coyoacan No. 521 Col. del Valle</t>
  </si>
  <si>
    <t>Chiapas-Tienda No 42 San Cristobal de Las Casas</t>
  </si>
  <si>
    <t>2951</t>
  </si>
  <si>
    <t>007-502-00</t>
  </si>
  <si>
    <t>007_502_00_Tienda_No_42_San_Cristobal_de_las_Casas</t>
  </si>
  <si>
    <t>Tienda No 42 San Cristobal de Las Casas</t>
  </si>
  <si>
    <t>Belisario Dominguez por Edgar Robledo Col. 14 de Septiembre</t>
  </si>
  <si>
    <t>Tabasco-Tienda No 43 ScC Villahermosa</t>
  </si>
  <si>
    <t>2487</t>
  </si>
  <si>
    <t>027-501-00</t>
  </si>
  <si>
    <t>027_501_00_Tienda_No_43_ScC_Villahermosa</t>
  </si>
  <si>
    <t>Tienda No 43 ScC Villahermosa</t>
  </si>
  <si>
    <t>Av. Gregorio Mendez No. 749 Col. Centro</t>
  </si>
  <si>
    <t>Hidalgo-Tienda No 44 Huichapan</t>
  </si>
  <si>
    <t>2184</t>
  </si>
  <si>
    <t>013-512-00</t>
  </si>
  <si>
    <t>013_512_00_Tienda_No_44_Huichapan</t>
  </si>
  <si>
    <t>Tienda No 44 Huichapan</t>
  </si>
  <si>
    <t>Av. Javier Rojo Gomez SN Col. Centro Historico</t>
  </si>
  <si>
    <t>Oaxaca-Tienda No 47 Oaxaca</t>
  </si>
  <si>
    <t>2862</t>
  </si>
  <si>
    <t>020-190-00</t>
  </si>
  <si>
    <t>020_190_00_Tienda_No_47_Oaxaca</t>
  </si>
  <si>
    <t>Tienda No 47 Oaxaca</t>
  </si>
  <si>
    <t>Blvd. Eduardo Vasconcelos No. 615 Col. Jalatlaco</t>
  </si>
  <si>
    <t>Sonora-Tienda No 48 Hermosillo</t>
  </si>
  <si>
    <t>2294</t>
  </si>
  <si>
    <t>026-501-00</t>
  </si>
  <si>
    <t>026_501_00_Tienda_No_48_Hermosillo</t>
  </si>
  <si>
    <t>Tienda No 48 Hermosillo</t>
  </si>
  <si>
    <t>Jose Maria Morelos y Pavon No. 116 Col. Constitucion</t>
  </si>
  <si>
    <t>CDMX-Tienda No 5 Melchor Ocampo</t>
  </si>
  <si>
    <t>2362</t>
  </si>
  <si>
    <t>091-504-00</t>
  </si>
  <si>
    <t>091_504_00_Tienda_No_5_Melchor_Ocampo</t>
  </si>
  <si>
    <t>Tienda No 5 Melchor Ocampo</t>
  </si>
  <si>
    <t>CDMX-Tienda No 60 Doctores</t>
  </si>
  <si>
    <t>2127</t>
  </si>
  <si>
    <t>094-513-00</t>
  </si>
  <si>
    <t>094_513_00_Tienda_No_60_Doctores</t>
  </si>
  <si>
    <t>Tienda No 60 Doctores</t>
  </si>
  <si>
    <t>Dr. Pascua y Esq. Dr. Andrade SN Col. Doctores</t>
  </si>
  <si>
    <t>Jalisco-Tienda No 61 CC Guadalajara</t>
  </si>
  <si>
    <t>2207</t>
  </si>
  <si>
    <t>014-502-00</t>
  </si>
  <si>
    <t>014_502_00_Tienda_No_61_CC_Guadalajara</t>
  </si>
  <si>
    <t>Tienda No 61 CC Guadalajara</t>
  </si>
  <si>
    <t>Antonio Enriquez No. 50 Col. San Andres</t>
  </si>
  <si>
    <t>Chihuahua-Tienda No 65 Cd Juarez</t>
  </si>
  <si>
    <t>2339</t>
  </si>
  <si>
    <t>008-503-00</t>
  </si>
  <si>
    <t>008_503_00_Tienda_No_65_Cd_Juarez</t>
  </si>
  <si>
    <t>Tienda No 65 Cd Juarez</t>
  </si>
  <si>
    <t>Av. Las Americas No. 1457 Col. Margaritas</t>
  </si>
  <si>
    <t>Zacatecas-Tienda No 69 Fresnillo</t>
  </si>
  <si>
    <t>2790</t>
  </si>
  <si>
    <t>032-190-00</t>
  </si>
  <si>
    <t>032_190_00_Tienda_No_69_Fresnillo</t>
  </si>
  <si>
    <t>Tienda No 69 Fresnillo</t>
  </si>
  <si>
    <t>Av. Revoluciën No. 106 Col. Tecnolëgica</t>
  </si>
  <si>
    <t>CDMX-Tienda No 7 Coruna</t>
  </si>
  <si>
    <t>092-505-00</t>
  </si>
  <si>
    <t>092_505_00_Tienda_No_7_Coruna</t>
  </si>
  <si>
    <t>Tienda No 7 Coruna</t>
  </si>
  <si>
    <t>Av. Coruna S/N Col. Viaducto Piedad</t>
  </si>
  <si>
    <t>Tamaulipas-Tienda No 72 Nuevo Laredo</t>
  </si>
  <si>
    <t>2305</t>
  </si>
  <si>
    <t>028-504-00</t>
  </si>
  <si>
    <t>028_504_00_Tienda_No_72_Nuevo_Laredo</t>
  </si>
  <si>
    <t>Tienda No 72 Nuevo Laredo</t>
  </si>
  <si>
    <t>Reynosa No. 1827 Col. Ferrocarril</t>
  </si>
  <si>
    <t>Sinaloa-Tienda No 99 SCC Los Mochis</t>
  </si>
  <si>
    <t>2280</t>
  </si>
  <si>
    <t>025-503-00</t>
  </si>
  <si>
    <t>025_503_00_Tienda_No_99_SCC_Los_Mochis</t>
  </si>
  <si>
    <t>Tienda No 99 SCC Los Mochis</t>
  </si>
  <si>
    <t>Blvd. 10 de Mayo y Rio Sinaloa Col. Jiquilpan</t>
  </si>
  <si>
    <t>Mochis</t>
  </si>
  <si>
    <t>Guanajuato-TTO Celaya Depto Accion Social Cultural y Deportivo Gto</t>
  </si>
  <si>
    <t>2460</t>
  </si>
  <si>
    <t>011-304-90</t>
  </si>
  <si>
    <t>011_304_90_TTO_Celaya_Depto_Accion_Social_Cultural_y_Deportivo_Gto</t>
  </si>
  <si>
    <t>TTO Celaya Depto Accion Social Cultural y Deportivo Gto</t>
  </si>
  <si>
    <t>Sonora-TTO Hermosillo</t>
  </si>
  <si>
    <t>2291</t>
  </si>
  <si>
    <t>026-304-90</t>
  </si>
  <si>
    <t>026_304_90_TTO_Hermosillo</t>
  </si>
  <si>
    <t>TTO Hermosillo</t>
  </si>
  <si>
    <t>Aquiles Serdan Esq. Rosales SN Col. Centro</t>
  </si>
  <si>
    <t>Yucatan-TTO Merida</t>
  </si>
  <si>
    <t>2021</t>
  </si>
  <si>
    <t>031-304-90</t>
  </si>
  <si>
    <t>031_304_90_TTO_Merida</t>
  </si>
  <si>
    <t>TTO Merida</t>
  </si>
  <si>
    <t>72 No. 414 A entre 39 y 37 Col. Centro</t>
  </si>
  <si>
    <t>Nuevo Leon-TTO Monterrey</t>
  </si>
  <si>
    <t>019-304-90</t>
  </si>
  <si>
    <t>019_304_90_TTO_Monterrey</t>
  </si>
  <si>
    <t>TTO</t>
  </si>
  <si>
    <t>TTO Monterrey</t>
  </si>
  <si>
    <t>Hidalgo-TTO Pachuca</t>
  </si>
  <si>
    <t>2840</t>
  </si>
  <si>
    <t>013-304-90</t>
  </si>
  <si>
    <t>013_304_90_TTO_Pachuca</t>
  </si>
  <si>
    <t>TTO Pachuca</t>
  </si>
  <si>
    <t>Jose Maria Pino Suarez No. 100 Col. Real de Minas</t>
  </si>
  <si>
    <t>CDMX-UAPE Hosp Jose Ma Morelos y Pavon</t>
  </si>
  <si>
    <t>092-301-10</t>
  </si>
  <si>
    <t>092_301_10_UAPE_Hosp_Jose_Ma_Morelos_y_Pavon</t>
  </si>
  <si>
    <t>UAPE Hosp Jose Ma Morelos y Pavon</t>
  </si>
  <si>
    <t>CDMX-UAPE No 001 Central</t>
  </si>
  <si>
    <t>091-301-09</t>
  </si>
  <si>
    <t>091_301_09_UAPE_No_001_Central</t>
  </si>
  <si>
    <t>UAPE</t>
  </si>
  <si>
    <t>UAPE No 001 Central</t>
  </si>
  <si>
    <t>CDMX-UAPE No 002 SCT</t>
  </si>
  <si>
    <t>093-301-09</t>
  </si>
  <si>
    <t>093_301_09_UAPE_No_002_SCT</t>
  </si>
  <si>
    <t>UAPE No 002 SCT</t>
  </si>
  <si>
    <t>CDMX-UAPE No 003 DDF</t>
  </si>
  <si>
    <t>092_301_09_UAPE_No_003_DDF</t>
  </si>
  <si>
    <t>UAPE No 003 DDF</t>
  </si>
  <si>
    <t>CDMX-UAPE No 005 UNAM</t>
  </si>
  <si>
    <t>093-301-10</t>
  </si>
  <si>
    <t>093_301_10_UAPE_No_005_UNAM</t>
  </si>
  <si>
    <t>UAPE No 005 UNAM</t>
  </si>
  <si>
    <t>CDMX-UAPE No 006 SS</t>
  </si>
  <si>
    <t>094-301-04</t>
  </si>
  <si>
    <t>094_301_04_UAPE_No_006_SS</t>
  </si>
  <si>
    <t>UAPE No 006 SS</t>
  </si>
  <si>
    <t>CDMX-UE Estancia Temporal Para Enfermos de Los Estados</t>
  </si>
  <si>
    <t>2373</t>
  </si>
  <si>
    <t>091-204-00</t>
  </si>
  <si>
    <t>091_204_00_UE_Estancia_Temporal_Para_Enfermos_de_Los_Estados</t>
  </si>
  <si>
    <t>UE Estancia Temporal Para Enfermos de Los Estados</t>
  </si>
  <si>
    <t>Calz. de Guadalupe No. 225 Col. Exhipodromo de Peralvillo</t>
  </si>
  <si>
    <t>Michoacan-UMF A Chilchota</t>
  </si>
  <si>
    <t>3162</t>
  </si>
  <si>
    <t>MNIST000045</t>
  </si>
  <si>
    <t>016-209-02</t>
  </si>
  <si>
    <t>016_209_02_UMF_A_Chilchota</t>
  </si>
  <si>
    <t>UMF A Chilchota</t>
  </si>
  <si>
    <t>Carr. Nacional SN Col. Centro</t>
  </si>
  <si>
    <t>Chilchota</t>
  </si>
  <si>
    <t>Sonora-UMF A Villa Juarez</t>
  </si>
  <si>
    <t>3316</t>
  </si>
  <si>
    <t>SRIST000080</t>
  </si>
  <si>
    <t>026-205-03</t>
  </si>
  <si>
    <t>026_205_03_UMF_A_Villa_Juarez</t>
  </si>
  <si>
    <t>UMF A Villa Juarez</t>
  </si>
  <si>
    <t>16 de Septiembre SN entre Morelos e Hidalgo Col. Villa Juarez</t>
  </si>
  <si>
    <t>Guanajuato-UMF Abasolo</t>
  </si>
  <si>
    <t>3041</t>
  </si>
  <si>
    <t>GTIST000016</t>
  </si>
  <si>
    <t>011-204-01</t>
  </si>
  <si>
    <t>011_204_01_UMF_Abasolo</t>
  </si>
  <si>
    <t>UMF Abasolo</t>
  </si>
  <si>
    <t>Picacho SN Col. Lomas de Santa Maria</t>
  </si>
  <si>
    <t>Abasolo</t>
  </si>
  <si>
    <t>Tamaulipas-UMF Abasolo</t>
  </si>
  <si>
    <t>3368</t>
  </si>
  <si>
    <t>TSIST000013</t>
  </si>
  <si>
    <t>028-204-01</t>
  </si>
  <si>
    <t>028_204_01_UMF_Abasolo</t>
  </si>
  <si>
    <t>Mendez Esq. Hidalgo Junto Al Seguro Social IMSS SN Col. Centro</t>
  </si>
  <si>
    <t>Guanajuato-UMF Acambaro</t>
  </si>
  <si>
    <t>3051</t>
  </si>
  <si>
    <t>GTIST000021</t>
  </si>
  <si>
    <t>011-207-01</t>
  </si>
  <si>
    <t>011_207_01_UMF_Acambaro</t>
  </si>
  <si>
    <t>UMF Acambaro</t>
  </si>
  <si>
    <t>Laurel No. 54 Col. Lomas Verdes</t>
  </si>
  <si>
    <t>Acambaro</t>
  </si>
  <si>
    <t>Chiapas-UMF Acapetahua</t>
  </si>
  <si>
    <t>2964</t>
  </si>
  <si>
    <t>CSIST000012</t>
  </si>
  <si>
    <t>007-205-06</t>
  </si>
  <si>
    <t>007_205_06_UMF_Acapetahua</t>
  </si>
  <si>
    <t>UMF Acapetahua</t>
  </si>
  <si>
    <t>1ra Av. Norte SN Col. Centro</t>
  </si>
  <si>
    <t>Acapetahua</t>
  </si>
  <si>
    <t>Oaxaca-UMF Acatlan de Perez Figueroa</t>
  </si>
  <si>
    <t>4616</t>
  </si>
  <si>
    <t>OCIST000305</t>
  </si>
  <si>
    <t>020-206-01</t>
  </si>
  <si>
    <t>020_206_01_UMF_Acatlan_de_Perez_Figueroa</t>
  </si>
  <si>
    <t>UMF Acatlan de Perez Figueroa</t>
  </si>
  <si>
    <t>Av. Porfirio Diaz Esq. Revolucion Col. Jalapilla</t>
  </si>
  <si>
    <t>Acatlan de Perez Figueroa</t>
  </si>
  <si>
    <t>Hidalgo-UMF Actopan</t>
  </si>
  <si>
    <t>3116</t>
  </si>
  <si>
    <t>HGIST000012</t>
  </si>
  <si>
    <t>013-210-01</t>
  </si>
  <si>
    <t>013_210_01_UMF_Actopan</t>
  </si>
  <si>
    <t>UMF Actopan</t>
  </si>
  <si>
    <t>Altamirano N 200 Av. Norte de Borga Col. Dias Guadalupe</t>
  </si>
  <si>
    <t>Atocpan</t>
  </si>
  <si>
    <t>Chihuahua-UMF Adolfo Lopez Mateos La Junta</t>
  </si>
  <si>
    <t>2588</t>
  </si>
  <si>
    <t>CHIST000071</t>
  </si>
  <si>
    <t>008-210-10</t>
  </si>
  <si>
    <t>008_210_10_UMF_Adolfo_Lopez_Mateos_La_Junta</t>
  </si>
  <si>
    <t>UMF Adolfo Lopez Mateos La Junta</t>
  </si>
  <si>
    <t>Felipe Angeles SN Esq. 5 Mayo Col. Benito Juarez</t>
  </si>
  <si>
    <t>Lic. Adolfo Lopez Mateos</t>
  </si>
  <si>
    <t>Sonora-UMF Agua Prieta</t>
  </si>
  <si>
    <t>3331</t>
  </si>
  <si>
    <t>SRIST000010</t>
  </si>
  <si>
    <t>026-215-06</t>
  </si>
  <si>
    <t>026_215_06_UMF_Agua_Prieta</t>
  </si>
  <si>
    <t>UMF Agua Prieta</t>
  </si>
  <si>
    <t>Av. 14 Col. Infonavit Industrial</t>
  </si>
  <si>
    <t>Agua Prieta</t>
  </si>
  <si>
    <t>Sinaloa-UMF Ahome</t>
  </si>
  <si>
    <t>3294</t>
  </si>
  <si>
    <t>SLIST000020</t>
  </si>
  <si>
    <t>025-205-01</t>
  </si>
  <si>
    <t>025_205_01_UMF_Ahome</t>
  </si>
  <si>
    <t>UMF Ahome</t>
  </si>
  <si>
    <t>Lauro Verreyesa Col. Villa de Guadalupe</t>
  </si>
  <si>
    <t>Ahome</t>
  </si>
  <si>
    <t>Nayarit-UMF Ahuacatlan</t>
  </si>
  <si>
    <t>3181</t>
  </si>
  <si>
    <t>NTIST000021</t>
  </si>
  <si>
    <t>018-206-01</t>
  </si>
  <si>
    <t>018_206_01_UMF_Ahuacatlan</t>
  </si>
  <si>
    <t>UMF Ahuacatlan</t>
  </si>
  <si>
    <t>Limon Supremo No. 16 Col. Barrio de la Otra Banda</t>
  </si>
  <si>
    <t>Ahuacatlan</t>
  </si>
  <si>
    <t>Jalisco-UMF Ahualulco del Mercado</t>
  </si>
  <si>
    <t>4521</t>
  </si>
  <si>
    <t>JCIST000161</t>
  </si>
  <si>
    <t>014-204-01</t>
  </si>
  <si>
    <t>014_204_01_UMF_Ahualulco_del_Mercado</t>
  </si>
  <si>
    <t>UMF Ahualulco del Mercado</t>
  </si>
  <si>
    <t>Andador Lopez Mateos Col. Fracc. Los Camimichis</t>
  </si>
  <si>
    <t>Ahualulco de Mercado</t>
  </si>
  <si>
    <t>Guerrero-UMF Ajuchitlan del Progreso</t>
  </si>
  <si>
    <t>3085</t>
  </si>
  <si>
    <t>GRIST000030</t>
  </si>
  <si>
    <t>012-206-01</t>
  </si>
  <si>
    <t>012_206_01_UMF_Ajuchitlan_del_Progreso</t>
  </si>
  <si>
    <t>UMF Ajuchitlan del Progreso</t>
  </si>
  <si>
    <t>J. Inocente Lugo SN Col. Centro</t>
  </si>
  <si>
    <t>Ajuchitan del Progreso</t>
  </si>
  <si>
    <t>Veracruz-UMF Alamo</t>
  </si>
  <si>
    <t>4630</t>
  </si>
  <si>
    <t>VZIST000651</t>
  </si>
  <si>
    <t>030-209-01</t>
  </si>
  <si>
    <t>030_209_01_UMF_Alamo</t>
  </si>
  <si>
    <t>UMF Alamo</t>
  </si>
  <si>
    <t>Calle Salvador Diaz Miron  No. 33 Col. Centro</t>
  </si>
  <si>
    <t>Alamo</t>
  </si>
  <si>
    <t>Sonora-UMF Alamos</t>
  </si>
  <si>
    <t>3317</t>
  </si>
  <si>
    <t>SRIST000022</t>
  </si>
  <si>
    <t>026-206-01</t>
  </si>
  <si>
    <t>026_206_01_UMF_Alamos</t>
  </si>
  <si>
    <t>UMF Alamos</t>
  </si>
  <si>
    <t>Carlos A. Rivero y Amado Nervo Col. Guayparin</t>
  </si>
  <si>
    <t>Etchojoa</t>
  </si>
  <si>
    <t>Tamaulipas-UMF Altamira</t>
  </si>
  <si>
    <t>3373</t>
  </si>
  <si>
    <t>TSIST000206</t>
  </si>
  <si>
    <t>028-211-03</t>
  </si>
  <si>
    <t>028_211_03_UMF_Altamira</t>
  </si>
  <si>
    <t>UMF Altamira</t>
  </si>
  <si>
    <t>San Marcos SN entre Capitan Perez y Quintero Col. Centro</t>
  </si>
  <si>
    <t>Altamira</t>
  </si>
  <si>
    <t>Veracruz-UMF Alvarado</t>
  </si>
  <si>
    <t>3395</t>
  </si>
  <si>
    <t>VZIST000021</t>
  </si>
  <si>
    <t>030-223-01</t>
  </si>
  <si>
    <t>030_223_01_UMF_Alvarado</t>
  </si>
  <si>
    <t>UMF Alvarado</t>
  </si>
  <si>
    <t>Ignacio de la Llave No. 96 A Col. Centro</t>
  </si>
  <si>
    <t>Alvarado</t>
  </si>
  <si>
    <t>Morelos-UMF Amacuzac</t>
  </si>
  <si>
    <t>4610</t>
  </si>
  <si>
    <t>MSIST000013</t>
  </si>
  <si>
    <t>017-208-01</t>
  </si>
  <si>
    <t>017_208_01_UMF_Amacuzac</t>
  </si>
  <si>
    <t>UMF Amacuzac</t>
  </si>
  <si>
    <t>Benito Juarez SN Col. Benito Juarez</t>
  </si>
  <si>
    <t>Amacuzac</t>
  </si>
  <si>
    <t>Queretaro-UMF Amealco</t>
  </si>
  <si>
    <t>2722</t>
  </si>
  <si>
    <t>QTIST000010</t>
  </si>
  <si>
    <t>022-205-03</t>
  </si>
  <si>
    <t>022_205_03_UMF_Amealco</t>
  </si>
  <si>
    <t>UMF Amealco</t>
  </si>
  <si>
    <t>Madrono No. 47 Col. Miradores</t>
  </si>
  <si>
    <t>Amealco</t>
  </si>
  <si>
    <t>Jalisco-UMF Ameca</t>
  </si>
  <si>
    <t>2677</t>
  </si>
  <si>
    <t>JCIST000016</t>
  </si>
  <si>
    <t>014-204-02</t>
  </si>
  <si>
    <t>014_204_02_UMF_Ameca</t>
  </si>
  <si>
    <t>UMF Ameca</t>
  </si>
  <si>
    <t>Prol. Portezuelo SN Interior 25 Col. Centro</t>
  </si>
  <si>
    <t>Ameca</t>
  </si>
  <si>
    <t>Estado de Mexico-UMF Amecameca de Juarez</t>
  </si>
  <si>
    <t>2641</t>
  </si>
  <si>
    <t>MCIST000022</t>
  </si>
  <si>
    <t>015-210-01</t>
  </si>
  <si>
    <t>015_210_01_UMF_Amecameca_de_Juarez</t>
  </si>
  <si>
    <t>UMF Amecameca de Juarez</t>
  </si>
  <si>
    <t>Cuauhtemoc SN Col. Centro</t>
  </si>
  <si>
    <t>Amecameca de Juarez</t>
  </si>
  <si>
    <t>Sinaloa-UMF Angostura</t>
  </si>
  <si>
    <t>3303</t>
  </si>
  <si>
    <t>SLIST000032</t>
  </si>
  <si>
    <t>025-206-01</t>
  </si>
  <si>
    <t>025_206_01_UMF_Angostura</t>
  </si>
  <si>
    <t>UMF Angostura</t>
  </si>
  <si>
    <t>Av. 5 de Mayo SN entre Blvd. Venustiano Carranza y 10ma Col. Centro</t>
  </si>
  <si>
    <t>Hidalgo-UMF Apan</t>
  </si>
  <si>
    <t>3106</t>
  </si>
  <si>
    <t>HGIST000024</t>
  </si>
  <si>
    <t>013-210-02</t>
  </si>
  <si>
    <t>013_210_02_UMF_Apan</t>
  </si>
  <si>
    <t>UMF Apan</t>
  </si>
  <si>
    <t>Prol. Hidalgo SN Col. Capulines</t>
  </si>
  <si>
    <t>Apan</t>
  </si>
  <si>
    <t>Guanajuato-UMF Apaseo El Alto</t>
  </si>
  <si>
    <t>3053</t>
  </si>
  <si>
    <t>GTIST000214</t>
  </si>
  <si>
    <t>011-207-02</t>
  </si>
  <si>
    <t>011_207_02_UMF_Apaseo_El_Alto</t>
  </si>
  <si>
    <t>UMF Apaseo El Alto</t>
  </si>
  <si>
    <t>1 Mayo No. 122 Col. Centro</t>
  </si>
  <si>
    <t>Apaseo del Alto</t>
  </si>
  <si>
    <t>Guanajuato-UMF Apaseo El Grande</t>
  </si>
  <si>
    <t>2017</t>
  </si>
  <si>
    <t>GTIST000226</t>
  </si>
  <si>
    <t>011-207-03</t>
  </si>
  <si>
    <t>011_207_03_UMF_Apaseo_El_Grande</t>
  </si>
  <si>
    <t>UMF Apaseo El Grande</t>
  </si>
  <si>
    <t>Francisco Villa No. 123 Col. Casa Blancas</t>
  </si>
  <si>
    <t>Tlaxcala-UMF Apizaco</t>
  </si>
  <si>
    <t>2502</t>
  </si>
  <si>
    <t>TLIST000013</t>
  </si>
  <si>
    <t>029-204-01</t>
  </si>
  <si>
    <t>029_204_01_UMF_Apizaco</t>
  </si>
  <si>
    <t>UMF Apizaco</t>
  </si>
  <si>
    <t>Del Alamo SN Col. La Noria</t>
  </si>
  <si>
    <t>Cd Apizaco</t>
  </si>
  <si>
    <t>Guerrero-UMF Aplaxtla de Castrejon</t>
  </si>
  <si>
    <t>2009</t>
  </si>
  <si>
    <t>GRIST000363</t>
  </si>
  <si>
    <t>012-206-03</t>
  </si>
  <si>
    <t>012_206_03_UMF_Aplaxtla_de_Castrejon</t>
  </si>
  <si>
    <t>UMF Aplaxtla de Castrejon</t>
  </si>
  <si>
    <t>Matamoros No. 402 Col. Los Lirios</t>
  </si>
  <si>
    <t>Guerrero-UMF Arcelia</t>
  </si>
  <si>
    <t>4585</t>
  </si>
  <si>
    <t>GRIST000042</t>
  </si>
  <si>
    <t>012-206-04</t>
  </si>
  <si>
    <t>012_206_04_UMF_Arcelia</t>
  </si>
  <si>
    <t>UMF Arcelia</t>
  </si>
  <si>
    <t>Anastacio Salgado SN Col. Vista Hermosa</t>
  </si>
  <si>
    <t>Arcelia</t>
  </si>
  <si>
    <t>Michoacan-UMF Ario de Rosales</t>
  </si>
  <si>
    <t>3164</t>
  </si>
  <si>
    <t>MNIST000021</t>
  </si>
  <si>
    <t>016-210-07</t>
  </si>
  <si>
    <t>016_210_07_UMF_Ario_de_Rosales</t>
  </si>
  <si>
    <t>UMF Ario de Rosales</t>
  </si>
  <si>
    <t>Carr. Patzcuaro SN Col. Centro</t>
  </si>
  <si>
    <t>Ario de Rosales</t>
  </si>
  <si>
    <t>Chiapas-UMF Arriaga</t>
  </si>
  <si>
    <t>2968</t>
  </si>
  <si>
    <t>CSIST000024</t>
  </si>
  <si>
    <t>007-208-01</t>
  </si>
  <si>
    <t>007_208_01_UMF_Arriaga</t>
  </si>
  <si>
    <t>UMF Arriaga</t>
  </si>
  <si>
    <t>24 Ote SN Col. Nueva Esperanza</t>
  </si>
  <si>
    <t>Arriaga</t>
  </si>
  <si>
    <t>Michoacan-UMF Arteaga</t>
  </si>
  <si>
    <t>3166</t>
  </si>
  <si>
    <t>MNIST000033</t>
  </si>
  <si>
    <t>016-212-01</t>
  </si>
  <si>
    <t>016_212_01_UMF_Arteaga</t>
  </si>
  <si>
    <t>UMF Arteaga</t>
  </si>
  <si>
    <t>E. Zapata No. 250 Col. Castaneda</t>
  </si>
  <si>
    <t>Arteaga</t>
  </si>
  <si>
    <t>Oaxaca-UMF Asuncion de Nochixtlan</t>
  </si>
  <si>
    <t>3232</t>
  </si>
  <si>
    <t>OCIST000013</t>
  </si>
  <si>
    <t>020-209-14</t>
  </si>
  <si>
    <t>020_209_14_UMF_Asuncion_de_Nochixtlan</t>
  </si>
  <si>
    <t>UMF Asuncion de Nochixtlan</t>
  </si>
  <si>
    <t>Av. Reforma Esq. Lopez Arenas SN Col. Barrio de la Pena</t>
  </si>
  <si>
    <t>Asuncion Nochixtlan</t>
  </si>
  <si>
    <t>Jalisco-UMF Atequiza</t>
  </si>
  <si>
    <t>4518</t>
  </si>
  <si>
    <t>JCIST000465</t>
  </si>
  <si>
    <t>014-206-01</t>
  </si>
  <si>
    <t>014_206_01_UMF_Atequiza</t>
  </si>
  <si>
    <t>UMF Atequiza</t>
  </si>
  <si>
    <t>B Col. Prados</t>
  </si>
  <si>
    <t>Ixtlahuaccan de los Membrillos</t>
  </si>
  <si>
    <t>Estado de Mexico-UMF Atlacomulco de Fabela</t>
  </si>
  <si>
    <t>2643</t>
  </si>
  <si>
    <t>MCIST000034</t>
  </si>
  <si>
    <t>015-213-02</t>
  </si>
  <si>
    <t>015_213_02_UMF_Atlacomulco_de Fabela</t>
  </si>
  <si>
    <t>UMF Atlacomulco de Fabela</t>
  </si>
  <si>
    <t>Ing.Luis Galindo Ruiz SN Col. Fovissste</t>
  </si>
  <si>
    <t>Atlacomulco de Fabela</t>
  </si>
  <si>
    <t>Guerrero-UMF Atoyac de Alvarez</t>
  </si>
  <si>
    <t>3092</t>
  </si>
  <si>
    <t>GRIST000054</t>
  </si>
  <si>
    <t>012-208-02</t>
  </si>
  <si>
    <t>012_208_02_UMF_Atoyac_de_Alvarez</t>
  </si>
  <si>
    <t>UMF Atoyac de Alvarez</t>
  </si>
  <si>
    <t>Lerdo de Tejada SN Col. Centro</t>
  </si>
  <si>
    <t>Concepcion del Oro</t>
  </si>
  <si>
    <t>San Luis Potosi-UMF Axtla de Terrazas</t>
  </si>
  <si>
    <t>2737</t>
  </si>
  <si>
    <t>SPIST000171</t>
  </si>
  <si>
    <t>024-208-01</t>
  </si>
  <si>
    <t>024_208_01_UMF_Axtla_de_Terrazas</t>
  </si>
  <si>
    <t>UMF Axtla de Terrazas</t>
  </si>
  <si>
    <t>Venustiano Carranza SN Col. La Libertad</t>
  </si>
  <si>
    <t>Axtla de Terrazas</t>
  </si>
  <si>
    <t>Guerrero-UMF Ayutla de Los Libres</t>
  </si>
  <si>
    <t>3093</t>
  </si>
  <si>
    <t>GRIST000066</t>
  </si>
  <si>
    <t>012-208-04</t>
  </si>
  <si>
    <t>012_208_04_UMF_Ayutla_de_Los_Libres</t>
  </si>
  <si>
    <t>UMF Ayutla de Los Libres</t>
  </si>
  <si>
    <t>Altamirano SN Col. San Felipe</t>
  </si>
  <si>
    <t>Queretaro-UMF Azteca III</t>
  </si>
  <si>
    <t>2260</t>
  </si>
  <si>
    <t>QTIST000075</t>
  </si>
  <si>
    <t>022-205-19</t>
  </si>
  <si>
    <t>022_205_19_UMF_Azteca_III</t>
  </si>
  <si>
    <t>UMF Azteca III</t>
  </si>
  <si>
    <t>Tenoch SN Antre Av. Pasteur y Chimalpopoca Col. Azteca Iii</t>
  </si>
  <si>
    <t>Sonora-UMF Bacobampo</t>
  </si>
  <si>
    <t>3329</t>
  </si>
  <si>
    <t>SRIST000092</t>
  </si>
  <si>
    <t>026-206-02</t>
  </si>
  <si>
    <t>026_206_02_UMF_Bacobampo</t>
  </si>
  <si>
    <t>UMF Bacobampo</t>
  </si>
  <si>
    <t>Amado Nervo SN Barrio Santidad Col. Barrio Salubridad</t>
  </si>
  <si>
    <t>Bacobampo</t>
  </si>
  <si>
    <t>Sinaloa-UMF Badiraguato</t>
  </si>
  <si>
    <t>3304</t>
  </si>
  <si>
    <t>SLIST000044</t>
  </si>
  <si>
    <t>025-206-02</t>
  </si>
  <si>
    <t>025_206_02_UMF_Badiraguato</t>
  </si>
  <si>
    <t>UMF Badiraguato</t>
  </si>
  <si>
    <t>Nerihurato SN Gabriel Leiva y Rosales Col. Centro</t>
  </si>
  <si>
    <t>Badiraguato</t>
  </si>
  <si>
    <t>Tabasco-UMF Balancan de Dominguez</t>
  </si>
  <si>
    <t>3345</t>
  </si>
  <si>
    <t>TCIST000010</t>
  </si>
  <si>
    <t>027-206-01</t>
  </si>
  <si>
    <t>027_206_01_UMF_Balancan_de_Dominguez</t>
  </si>
  <si>
    <t>UMF Balancan de Dominguez</t>
  </si>
  <si>
    <t>Prol. Venustiano Carranza SN Col. El Carmen</t>
  </si>
  <si>
    <t>Bacalan de Dominguez</t>
  </si>
  <si>
    <t>Chiapas-UMF Bochil</t>
  </si>
  <si>
    <t>2969</t>
  </si>
  <si>
    <t>CSIST000036</t>
  </si>
  <si>
    <t>007-208-02</t>
  </si>
  <si>
    <t>007_208_02_UMF_Bochil</t>
  </si>
  <si>
    <t>UMF Bochil</t>
  </si>
  <si>
    <t>3Ra Ote Norte SN Col. Orizaba</t>
  </si>
  <si>
    <t>Bochil</t>
  </si>
  <si>
    <t>Sonora-UMF Caborca</t>
  </si>
  <si>
    <t>3330</t>
  </si>
  <si>
    <t>SRIST000034</t>
  </si>
  <si>
    <t>026-215-01</t>
  </si>
  <si>
    <t>026_215_01_UMF_Caborca</t>
  </si>
  <si>
    <t>UMF Caborca</t>
  </si>
  <si>
    <t>Bizani entre K y L Col. Clonomica</t>
  </si>
  <si>
    <t>Heroica Caborca</t>
  </si>
  <si>
    <t>Chiapas-UMF Cacahoatan</t>
  </si>
  <si>
    <t>2960</t>
  </si>
  <si>
    <t>CSIST000041</t>
  </si>
  <si>
    <t>007-205-01</t>
  </si>
  <si>
    <t>007_205_01_UMF_Cacahoatan</t>
  </si>
  <si>
    <t>UMF Cacahoatan</t>
  </si>
  <si>
    <t>Novena Av. Norte y Prol. SN Col. Centro</t>
  </si>
  <si>
    <t>Cacaoatan</t>
  </si>
  <si>
    <t>Nuevo Leon-UMF Cadereyta de Jimenez</t>
  </si>
  <si>
    <t>2857</t>
  </si>
  <si>
    <t>NLIST000023</t>
  </si>
  <si>
    <t>019-204-04</t>
  </si>
  <si>
    <t>019_204_04_UMF_Cadereyta_de_Jimenez</t>
  </si>
  <si>
    <t>UMF Cadereyta de Jimenez</t>
  </si>
  <si>
    <t>Miguel Aleman No. 302 Col. Lopez Mateos</t>
  </si>
  <si>
    <t>Cadereyta Jimenez</t>
  </si>
  <si>
    <t>Queretaro-UMF Cadereyta de Montes</t>
  </si>
  <si>
    <t>2723</t>
  </si>
  <si>
    <t>QTIST000022</t>
  </si>
  <si>
    <t>022-205-05</t>
  </si>
  <si>
    <t>022_205_05_UMF_Cadereyta_de_Montes</t>
  </si>
  <si>
    <t>UMF Cadereyta de Montes</t>
  </si>
  <si>
    <t>Carr. San Juan del Rio A Xilitla SN entre Ezequiel Montes Col. Cadereyta</t>
  </si>
  <si>
    <t>Cadereyta</t>
  </si>
  <si>
    <t>Campeche-UMF Calkini</t>
  </si>
  <si>
    <t>2922</t>
  </si>
  <si>
    <t>CCIST000016</t>
  </si>
  <si>
    <t>004-204-01</t>
  </si>
  <si>
    <t>004_204_01_UMF_Calkini</t>
  </si>
  <si>
    <t>UMF Calkini</t>
  </si>
  <si>
    <t>Violeta Por Tulipanes SN Col. Fracc Las Flores</t>
  </si>
  <si>
    <t>Calkini</t>
  </si>
  <si>
    <t>Tlaxcala-UMF Calpulalpan</t>
  </si>
  <si>
    <t>4575</t>
  </si>
  <si>
    <t>TLIST000025</t>
  </si>
  <si>
    <t>029-204-02</t>
  </si>
  <si>
    <t>029_204_02_UMF_Calpulalpan</t>
  </si>
  <si>
    <t>UMF Calpulalpan</t>
  </si>
  <si>
    <t>Prol. Juarez SN Col. Union y Progreo</t>
  </si>
  <si>
    <t>Calpulalpan</t>
  </si>
  <si>
    <t>Aguascalientes-UMF Calvillo</t>
  </si>
  <si>
    <t>2307</t>
  </si>
  <si>
    <t>ASIST000050</t>
  </si>
  <si>
    <t>001-205-01</t>
  </si>
  <si>
    <t>001_205_01_UMF_Calvillo</t>
  </si>
  <si>
    <t>UMF Calvillo</t>
  </si>
  <si>
    <t>Prol. Galeana No. 605 Col. Fracc. Independencia</t>
  </si>
  <si>
    <t>Calvillo</t>
  </si>
  <si>
    <t>Sonora-UMF Cananea</t>
  </si>
  <si>
    <t>3332</t>
  </si>
  <si>
    <t>SRIST000063</t>
  </si>
  <si>
    <t>026-215-09</t>
  </si>
  <si>
    <t>026_215_09_UMF_Cananea</t>
  </si>
  <si>
    <t>UMF Cananea</t>
  </si>
  <si>
    <t>Republica SN entre Capote y Colorado Col. Secc. Minera</t>
  </si>
  <si>
    <t>Cananea</t>
  </si>
  <si>
    <t>Durango-UMF Canatlan de las Manzanas</t>
  </si>
  <si>
    <t>2625</t>
  </si>
  <si>
    <t>DGIST000013</t>
  </si>
  <si>
    <t>010-207-01</t>
  </si>
  <si>
    <t>010_207_01_UMF_Canatlan_de_las_Manzanas</t>
  </si>
  <si>
    <t>UMF Canatlan de las Manzanas</t>
  </si>
  <si>
    <t>C. Morelos SN, Col. Valenzuela</t>
  </si>
  <si>
    <t>Canatlan</t>
  </si>
  <si>
    <t>Estado de Mexico-UMF Capulhuac de Mirafuentes</t>
  </si>
  <si>
    <t>2639</t>
  </si>
  <si>
    <t>MCIST000046</t>
  </si>
  <si>
    <t>015-213-19</t>
  </si>
  <si>
    <t>015_213_19_UMF_Capulhuac_de_Mirafuentes</t>
  </si>
  <si>
    <t>UMF Capulhuac de Mirafuente</t>
  </si>
  <si>
    <t>Prolongacion General Anaya SN Col. Barrio de San Isidro</t>
  </si>
  <si>
    <t>Calpulhuac</t>
  </si>
  <si>
    <t>San Luis Potosi-UMF Cardenas</t>
  </si>
  <si>
    <t>2738</t>
  </si>
  <si>
    <t>SPIST000014</t>
  </si>
  <si>
    <t>024-209-01</t>
  </si>
  <si>
    <t>024_209_01_UMF_Cardenas</t>
  </si>
  <si>
    <t>UMF Cardenas</t>
  </si>
  <si>
    <t>Faibarlome de Las Casas Esq. Con Comonfor Cardenas Slp Col. Barrio El Corito C.P.</t>
  </si>
  <si>
    <t>Coahuila-UMF Cd Allende</t>
  </si>
  <si>
    <t>3003</t>
  </si>
  <si>
    <t>CLIST000024</t>
  </si>
  <si>
    <t>005-207-01</t>
  </si>
  <si>
    <t>005_207_01_UMF_Cd_Allende</t>
  </si>
  <si>
    <t>UMF Cd Allende</t>
  </si>
  <si>
    <t>Independencia Sn entre 16 Sep y Escobedo Col. Centro</t>
  </si>
  <si>
    <t>Cd Allende</t>
  </si>
  <si>
    <t>Nuevo Leon-UMF Cd Anahuac</t>
  </si>
  <si>
    <t>2713</t>
  </si>
  <si>
    <t>NLIST000011</t>
  </si>
  <si>
    <t>019-204-05</t>
  </si>
  <si>
    <t>019_204_05_UMF_Cd_Anahuac</t>
  </si>
  <si>
    <t>UMF Cd Anahuac</t>
  </si>
  <si>
    <t>Mais N 500 Col. Obrera</t>
  </si>
  <si>
    <t>Anahuac</t>
  </si>
  <si>
    <t>Chihuahua-UMF Cd Camargo</t>
  </si>
  <si>
    <t>2584</t>
  </si>
  <si>
    <t>CHIST000013</t>
  </si>
  <si>
    <t>008-213-03</t>
  </si>
  <si>
    <t>008_213_03_UMF_Cd_Camargo</t>
  </si>
  <si>
    <t>UMF Cd Camargo</t>
  </si>
  <si>
    <t>Cuarta SN entre Jose Sauceda y Jose Reyes Juarez Col. Quinta Garcia</t>
  </si>
  <si>
    <t>Camargo</t>
  </si>
  <si>
    <t>Tamaulipas-UMF Cd Camargo</t>
  </si>
  <si>
    <t>3359</t>
  </si>
  <si>
    <t>TSIST000025</t>
  </si>
  <si>
    <t>028-206-01</t>
  </si>
  <si>
    <t>028_206_01_UMF_Cd_Camargo</t>
  </si>
  <si>
    <t>C. Ninos Heroes y Jose Escandon SN Col. Centro</t>
  </si>
  <si>
    <t>Cd Camargo</t>
  </si>
  <si>
    <t>San Luis Potosi-UMF Cd Charcas</t>
  </si>
  <si>
    <t>2741</t>
  </si>
  <si>
    <t>SPIST000060</t>
  </si>
  <si>
    <t>024-206-04</t>
  </si>
  <si>
    <t>024_206_04_UMF_Cd_Charcas</t>
  </si>
  <si>
    <t>UMF Cd Charcas</t>
  </si>
  <si>
    <t>Independencia No. 105, Col Centro, Charcas, S.L.P.</t>
  </si>
  <si>
    <t>Charcas</t>
  </si>
  <si>
    <t>San Luis Potosi-UMF Cd del Maiz</t>
  </si>
  <si>
    <t>2739</t>
  </si>
  <si>
    <t>SPIST000031</t>
  </si>
  <si>
    <t>024-209-02</t>
  </si>
  <si>
    <t>024_209_02_UMF_Cd_del_Maiz</t>
  </si>
  <si>
    <t>UMF Cd del Maiz</t>
  </si>
  <si>
    <t>Gral. Anaya No. 2 Col. Centro</t>
  </si>
  <si>
    <t>Cd del Maiz</t>
  </si>
  <si>
    <t>Chihuahua-UMF Cd Guerrero</t>
  </si>
  <si>
    <t>2586</t>
  </si>
  <si>
    <t>CHIST000083</t>
  </si>
  <si>
    <t>008-210-11</t>
  </si>
  <si>
    <t>008_210_11_UMF_Cd_Guerrero</t>
  </si>
  <si>
    <t>UMF Cd Guerrero</t>
  </si>
  <si>
    <t>Joaquin Lopez No. 600 Col. Centro</t>
  </si>
  <si>
    <t>Cd Guerrero</t>
  </si>
  <si>
    <t>Chiapas-UMF Cd Hidalgo</t>
  </si>
  <si>
    <t>2961</t>
  </si>
  <si>
    <t>CSIST000205</t>
  </si>
  <si>
    <t>007-205-02</t>
  </si>
  <si>
    <t>007_205_02_UMF_Cd_Hidalgo</t>
  </si>
  <si>
    <t>UMF Cd Hidalgo</t>
  </si>
  <si>
    <t>1ra Oriente y 2Da Azul SN Col. Centro</t>
  </si>
  <si>
    <t>Cd Hidalgo</t>
  </si>
  <si>
    <t>Michoacan-UMF Cd Hidalgo</t>
  </si>
  <si>
    <t>3161</t>
  </si>
  <si>
    <t>MNIST000050</t>
  </si>
  <si>
    <t>016-208-09</t>
  </si>
  <si>
    <t>016_208_09_UMF_Cd_Hidalgo</t>
  </si>
  <si>
    <t>Vidal Solis SN Col. Rosa de Castilla</t>
  </si>
  <si>
    <t>Oaxaca-UMF Cd Ixtepec</t>
  </si>
  <si>
    <t>3221</t>
  </si>
  <si>
    <t>OCIST000025</t>
  </si>
  <si>
    <t>020-204-01</t>
  </si>
  <si>
    <t>020_204_01_UMF_Cd_Ixtepec</t>
  </si>
  <si>
    <t>UMF Cd Ixtepec</t>
  </si>
  <si>
    <t>Nicolas Bravo 36 Esq. Av. Oaxaca Col. Sexta Seccion del Barrio San Antonio</t>
  </si>
  <si>
    <t>Cd Ixtepec</t>
  </si>
  <si>
    <t>Chihuahua-UMF Cd Jimenez</t>
  </si>
  <si>
    <t>2583</t>
  </si>
  <si>
    <t>CHIST000100</t>
  </si>
  <si>
    <t>008-207-13</t>
  </si>
  <si>
    <t>008_207_13_UMF_Cd_Jimenez</t>
  </si>
  <si>
    <t>UMF Cd Jimenez</t>
  </si>
  <si>
    <t>Sor Juana Ines de la Cruz y Carmargo SN Col. Palomar</t>
  </si>
  <si>
    <t>Jose Mariano Jimenez</t>
  </si>
  <si>
    <t>Veracruz-UMF Cd Jose Cardel</t>
  </si>
  <si>
    <t>3396</t>
  </si>
  <si>
    <t>VZIST000033</t>
  </si>
  <si>
    <t>030-223-06</t>
  </si>
  <si>
    <t>030_223_06_UMF_Cd_Jose_Cardel</t>
  </si>
  <si>
    <t>UMF Cd Jose Cardel</t>
  </si>
  <si>
    <t>Bugamhilia SN Col. Sarh</t>
  </si>
  <si>
    <t>La Antigua</t>
  </si>
  <si>
    <t>Coahuila-UMF Cd Melchor Muzquiz</t>
  </si>
  <si>
    <t>3005</t>
  </si>
  <si>
    <t>CLIST000070</t>
  </si>
  <si>
    <t>005-209-01</t>
  </si>
  <si>
    <t>005_209_01_UMF_Cd_Melchor_Muzquiz</t>
  </si>
  <si>
    <t>UMF Cd Melchor Muzquiz</t>
  </si>
  <si>
    <t>Heroico Colegio Militar SN Col. Barrio del Issste</t>
  </si>
  <si>
    <t>Melchor Muzquiz</t>
  </si>
  <si>
    <t>Tamaulipas-UMF Cd Miguel Aleman</t>
  </si>
  <si>
    <t>3375</t>
  </si>
  <si>
    <t>TSIST000083</t>
  </si>
  <si>
    <t>028-206-04</t>
  </si>
  <si>
    <t>028_206_04_UMF_Cd_Miguel_Aleman</t>
  </si>
  <si>
    <t>UMF Cd Miguel Aleman</t>
  </si>
  <si>
    <t>Puerto de Tampico Con Mazatlan No. 201 Col. San German</t>
  </si>
  <si>
    <t>Miguel Aleman</t>
  </si>
  <si>
    <t>Veracruz-UMF Cd Miguel Aleman</t>
  </si>
  <si>
    <t>3387</t>
  </si>
  <si>
    <t>VZIST000074</t>
  </si>
  <si>
    <t>030-209-12</t>
  </si>
  <si>
    <t>030_209_12_UMF_Cd_Miguel_Aleman</t>
  </si>
  <si>
    <t>Av. de Los Huastecos SN Col. Centro</t>
  </si>
  <si>
    <t>Cd Aleman</t>
  </si>
  <si>
    <t>Puebla-UMF Cd Serdan</t>
  </si>
  <si>
    <t>3257</t>
  </si>
  <si>
    <t>PLIST000043</t>
  </si>
  <si>
    <t>021-208-01</t>
  </si>
  <si>
    <t>021_208_01_UMF_Cd_Serdan</t>
  </si>
  <si>
    <t>UMF Cd Serdan</t>
  </si>
  <si>
    <t>Cjon. de la Explosion N 3 Col. Ciudad Serdan Centro</t>
  </si>
  <si>
    <t>Cd Serdan</t>
  </si>
  <si>
    <t>San Luis Potosi-UMF Cerritos</t>
  </si>
  <si>
    <t>2740</t>
  </si>
  <si>
    <t>SPIST000026</t>
  </si>
  <si>
    <t>024-206-03</t>
  </si>
  <si>
    <t>024_206_03_UMF_Cerritos</t>
  </si>
  <si>
    <t>UMF Cerritos</t>
  </si>
  <si>
    <t>Zaragoza SN Col. Cerritos</t>
  </si>
  <si>
    <t>Cerritos</t>
  </si>
  <si>
    <t>Veracruz-UMF Cerro Azul</t>
  </si>
  <si>
    <t>3403</t>
  </si>
  <si>
    <t>VZIST000045</t>
  </si>
  <si>
    <t>030-208-08</t>
  </si>
  <si>
    <t>030_208_08_UMF_Cerro_Azul</t>
  </si>
  <si>
    <t>UMF Cerro Azul</t>
  </si>
  <si>
    <t>Amado Nervo Esq. Lopez Mateos Col. Lazaro Cardenas</t>
  </si>
  <si>
    <t>Cerro Azul</t>
  </si>
  <si>
    <t>Estado de Mexico-UMF Chalco de Covarrubias</t>
  </si>
  <si>
    <t>2642</t>
  </si>
  <si>
    <t>MCIST000051</t>
  </si>
  <si>
    <t>015-210-02</t>
  </si>
  <si>
    <t>015_210_02_UMF_Chalco_de_Covarrubias</t>
  </si>
  <si>
    <t>UMF Chalco de Covarrubias</t>
  </si>
  <si>
    <t>5 de Febrero SN Col. La Bomba</t>
  </si>
  <si>
    <t>Chalco</t>
  </si>
  <si>
    <t>Campeche-UMF Champoton</t>
  </si>
  <si>
    <t>2923</t>
  </si>
  <si>
    <t>CCIST000045</t>
  </si>
  <si>
    <t>004-204-03</t>
  </si>
  <si>
    <t>004_204_03_UMF_Champoton</t>
  </si>
  <si>
    <t>UMF Champoton</t>
  </si>
  <si>
    <t>11 SN entre Carlos Sansores Perez y 18 Col. Issste</t>
  </si>
  <si>
    <t>Champoton</t>
  </si>
  <si>
    <t>Chiapas-UMF Chiapa de Corzo</t>
  </si>
  <si>
    <t>4629</t>
  </si>
  <si>
    <t>CSIST000082</t>
  </si>
  <si>
    <t>007-208-06</t>
  </si>
  <si>
    <t>007_208_06_UMF_Chiapa_de_Corzo</t>
  </si>
  <si>
    <t>UMF Chiapa de Corzo</t>
  </si>
  <si>
    <t>Calle 12 de Agosto No. 1875 Col. Santa Elena</t>
  </si>
  <si>
    <t>Chiapa de Corzo</t>
  </si>
  <si>
    <t>Puebla-UMF Chiautla de Tapia</t>
  </si>
  <si>
    <t>2030</t>
  </si>
  <si>
    <t>PLIST000241</t>
  </si>
  <si>
    <t>021-206-02</t>
  </si>
  <si>
    <t>021_206_02_UMF_Chiautla_de_Tapia</t>
  </si>
  <si>
    <t>UMF Chiautla de Tapia</t>
  </si>
  <si>
    <t>Av. Reforma No. 48 A Col. Centro</t>
  </si>
  <si>
    <t>Chiautla de Tapia</t>
  </si>
  <si>
    <t>Veracruz-UMF Chicontepec de Tejada</t>
  </si>
  <si>
    <t>3406</t>
  </si>
  <si>
    <t>VZIST000091</t>
  </si>
  <si>
    <t>030-208-05</t>
  </si>
  <si>
    <t>030_208_05_UMF_Chicontepec_de_Tejada</t>
  </si>
  <si>
    <t>UMF Chicontepec de Tejada</t>
  </si>
  <si>
    <t>Chicontepec de Tejeda</t>
  </si>
  <si>
    <t>Puebla-UMF Chignahuapan</t>
  </si>
  <si>
    <t>3255</t>
  </si>
  <si>
    <t>PLIST000055</t>
  </si>
  <si>
    <t>021-207-03</t>
  </si>
  <si>
    <t>021_207_03_UMF_Chignahuapan</t>
  </si>
  <si>
    <t>UMF Chignahuapan</t>
  </si>
  <si>
    <t>Carr. Chignahuapan Zacatlan Km. 05 Col. Barrio Teoconchila</t>
  </si>
  <si>
    <t>Cd de Chignahuapan</t>
  </si>
  <si>
    <t>Guerrero-UMF Chilapa de Alvarez</t>
  </si>
  <si>
    <t>3079</t>
  </si>
  <si>
    <t>GRIST000100</t>
  </si>
  <si>
    <t>012-205-01</t>
  </si>
  <si>
    <t>012_205_01_UMF_Chilapa_de_Alvarez</t>
  </si>
  <si>
    <t>UMF Chilapa de Alvarez</t>
  </si>
  <si>
    <t>6 Norte No. 220 Col. Centro</t>
  </si>
  <si>
    <t>Chilapa de Alvarez</t>
  </si>
  <si>
    <t>Sinaloa-UMF Choix</t>
  </si>
  <si>
    <t>3296</t>
  </si>
  <si>
    <t>SLIST000114</t>
  </si>
  <si>
    <t>025-205-04</t>
  </si>
  <si>
    <t>025_205_04_UMF_Choix</t>
  </si>
  <si>
    <t>UMF Choix</t>
  </si>
  <si>
    <t>Domicilio Conocido Col. Reforma</t>
  </si>
  <si>
    <t>Choix</t>
  </si>
  <si>
    <t>Puebla-UMF Cholula</t>
  </si>
  <si>
    <t>2472</t>
  </si>
  <si>
    <t>PLIST000130</t>
  </si>
  <si>
    <t>021-214-12</t>
  </si>
  <si>
    <t>021_214_12_UMF_Cholula</t>
  </si>
  <si>
    <t>UMF Cholula</t>
  </si>
  <si>
    <t>Av. Tecnologico No. 1208 entre Cetis 67 y Sagarpa Col. San Cristobal Tepontla</t>
  </si>
  <si>
    <t>Cholula de Rivadavia</t>
  </si>
  <si>
    <t>Chiapas-UMF Cintalapa de Figueroa</t>
  </si>
  <si>
    <t>4576</t>
  </si>
  <si>
    <t>CSIST000053</t>
  </si>
  <si>
    <t>007-208-03</t>
  </si>
  <si>
    <t>007_208_03_UMF_Cintalapa_de_Figueroa</t>
  </si>
  <si>
    <t>UMF Cintalapa de Figueroa</t>
  </si>
  <si>
    <t>Prol. Juarez SN Col. Union y Progreso</t>
  </si>
  <si>
    <t>Cintalapa de Figueroa</t>
  </si>
  <si>
    <t>Veracruz-UMF Coatepec</t>
  </si>
  <si>
    <t>3393</t>
  </si>
  <si>
    <t>VZIST000050</t>
  </si>
  <si>
    <t>030-204-01</t>
  </si>
  <si>
    <t>030_204_01_UMF_Coatepec</t>
  </si>
  <si>
    <t>UMF Coatepec</t>
  </si>
  <si>
    <t>Melchor Ocampo SN Col. Centro</t>
  </si>
  <si>
    <t>Coatepec</t>
  </si>
  <si>
    <t>Jalisco-UMF Cocula</t>
  </si>
  <si>
    <t>2679</t>
  </si>
  <si>
    <t>JCIST000050</t>
  </si>
  <si>
    <t>014-205-04</t>
  </si>
  <si>
    <t>014_205_04_UMF_Cocula</t>
  </si>
  <si>
    <t>UMF Cocula</t>
  </si>
  <si>
    <t>San Diego No. 457 Col. Barrio de la Ascencion</t>
  </si>
  <si>
    <t>Cocula</t>
  </si>
  <si>
    <t>San Luis Potosi-UMF Col Burocratas</t>
  </si>
  <si>
    <t>2477</t>
  </si>
  <si>
    <t>SPIST000130</t>
  </si>
  <si>
    <t>024-206-01</t>
  </si>
  <si>
    <t>024_206_01_UMF_Col_Burocratas</t>
  </si>
  <si>
    <t>UMF Col Burocratas</t>
  </si>
  <si>
    <t>Av. Scop No. 1120 Esq. Educacion Col. Burocratas</t>
  </si>
  <si>
    <t>Puebla-UMF Col Magisterial Federal Mexico 68</t>
  </si>
  <si>
    <t>2471</t>
  </si>
  <si>
    <t>PLIST000113</t>
  </si>
  <si>
    <t>021-214-13</t>
  </si>
  <si>
    <t>021_214_13_UMF_Col_Magisterial_Federal_Mexico_68</t>
  </si>
  <si>
    <t>UMF Col Magisterial Federal Mexico 68</t>
  </si>
  <si>
    <t>Direcciën. Esgrima SN Col. Mexico 68</t>
  </si>
  <si>
    <t>Queretaro-UMF Col Satelite</t>
  </si>
  <si>
    <t>2473</t>
  </si>
  <si>
    <t>QTIST000063</t>
  </si>
  <si>
    <t>022-205-18</t>
  </si>
  <si>
    <t>022_205_18_UMF_Col_Satelite</t>
  </si>
  <si>
    <t>UMF Col Satelite</t>
  </si>
  <si>
    <t>Av. Acceso 6 No. 13 A Junto Al Cerro del Tambor Col. Industrial Benito Juarez</t>
  </si>
  <si>
    <t>Sinaloa-UMF Col STASE</t>
  </si>
  <si>
    <t>2480</t>
  </si>
  <si>
    <t>SLIST000090</t>
  </si>
  <si>
    <t>025-206-15</t>
  </si>
  <si>
    <t>025_206_15_UMF_Col_STASE</t>
  </si>
  <si>
    <t>UMF Col STASE</t>
  </si>
  <si>
    <t>Blvd. Diamante SN Col. Enrique Cabrera</t>
  </si>
  <si>
    <t>Culiacan Rosales</t>
  </si>
  <si>
    <t>Tabasco-UMF Comalcalco</t>
  </si>
  <si>
    <t>3346</t>
  </si>
  <si>
    <t>TCIST000075</t>
  </si>
  <si>
    <t>027-206-02</t>
  </si>
  <si>
    <t>027_206_02_UMF_Comalcalco</t>
  </si>
  <si>
    <t>UMF Comalcalco</t>
  </si>
  <si>
    <t>De La Unidad Deportiva Sn Col. Magisterial</t>
  </si>
  <si>
    <t>Comalcalco</t>
  </si>
  <si>
    <t>Nayarit-UMF Compostela</t>
  </si>
  <si>
    <t>3182</t>
  </si>
  <si>
    <t>NTIST000033</t>
  </si>
  <si>
    <t>018-206-03</t>
  </si>
  <si>
    <t>018_206_03_UMF_Compostela</t>
  </si>
  <si>
    <t>UMF Compostela</t>
  </si>
  <si>
    <t>Calz. Librado Rivera SN Col. Los Arrayanes</t>
  </si>
  <si>
    <t>Compostela</t>
  </si>
  <si>
    <t>Zacatecas-UMF Concepcion del Oro</t>
  </si>
  <si>
    <t>3421</t>
  </si>
  <si>
    <t>ZSIST000020</t>
  </si>
  <si>
    <t>032-204-04</t>
  </si>
  <si>
    <t>032_204_04_UMF_Concepcion_del_Oro</t>
  </si>
  <si>
    <t>UMF Concepcion del Oro</t>
  </si>
  <si>
    <t>Sinaloa-UMF Concordia</t>
  </si>
  <si>
    <t>3289</t>
  </si>
  <si>
    <t>SLIST000056</t>
  </si>
  <si>
    <t>025-204-01</t>
  </si>
  <si>
    <t>025_204_01_UMF_Concordia</t>
  </si>
  <si>
    <t>UMF Concordia</t>
  </si>
  <si>
    <t>Carr. Internacional Mazatlan Durango SN Col. Centro</t>
  </si>
  <si>
    <t>Concordia</t>
  </si>
  <si>
    <t>Chiapas-UMF Copainala</t>
  </si>
  <si>
    <t>4613</t>
  </si>
  <si>
    <t>CSIST000070</t>
  </si>
  <si>
    <t>007-208-05</t>
  </si>
  <si>
    <t>007_208_05_UMF_Copainala</t>
  </si>
  <si>
    <t>UMF Copainala</t>
  </si>
  <si>
    <t>Tecpatan SN Col. Santana</t>
  </si>
  <si>
    <t>Copainala</t>
  </si>
  <si>
    <t>Guanajuato-UMF Cortazar</t>
  </si>
  <si>
    <t>3054</t>
  </si>
  <si>
    <t>GTIST000050</t>
  </si>
  <si>
    <t>011-207-05</t>
  </si>
  <si>
    <t>011_207_05_UMF_Cortazar</t>
  </si>
  <si>
    <t>UMF Cortazar</t>
  </si>
  <si>
    <t>Prol. Manuel Doblado SN entre Villa Blanca y Av. Chilpancingo Col. Villa del Sol</t>
  </si>
  <si>
    <t>Corteza</t>
  </si>
  <si>
    <t>Sinaloa-UMF Cosala</t>
  </si>
  <si>
    <t>3305</t>
  </si>
  <si>
    <t>SLIST000061</t>
  </si>
  <si>
    <t>025-206-03</t>
  </si>
  <si>
    <t>025_206_03_UMF_Cosala</t>
  </si>
  <si>
    <t>UMF Cosala</t>
  </si>
  <si>
    <t>Cda. Casae Escuela SN Antre Antonio Rosales y T. Loaiza Col. Luis Donaldo Colosio</t>
  </si>
  <si>
    <t>Cosala</t>
  </si>
  <si>
    <t>Veracruz-UMF Cosamaloapan de Carpio</t>
  </si>
  <si>
    <t>3410</t>
  </si>
  <si>
    <t>VZIST000086</t>
  </si>
  <si>
    <t>030-209-11</t>
  </si>
  <si>
    <t>030_209_11_UMF_Cosamaloapan_de_Carpio</t>
  </si>
  <si>
    <t>UMF Cosamaloapan de Carpio</t>
  </si>
  <si>
    <t>Emiliano Zapata No. 101 entre Avila Camacho e Independencia Col. Altamirano Cosamaloapan</t>
  </si>
  <si>
    <t>Cosamaloapan</t>
  </si>
  <si>
    <t>Sinaloa-UMF Costa Rica</t>
  </si>
  <si>
    <t>3311</t>
  </si>
  <si>
    <t>SLIST000324</t>
  </si>
  <si>
    <t>025-206-14</t>
  </si>
  <si>
    <t>025_206_14_UMF_Costa_Rica</t>
  </si>
  <si>
    <t>UMF Costa Rica</t>
  </si>
  <si>
    <t>Dr. Magana SN entre Armando Magana E Iturbide Col. Juan de Dios Batiz</t>
  </si>
  <si>
    <t>Costa Rica</t>
  </si>
  <si>
    <t>Guerrero-UMF Coyuca de Benitez</t>
  </si>
  <si>
    <t>3094</t>
  </si>
  <si>
    <t>GRIST000083</t>
  </si>
  <si>
    <t>012-208-05</t>
  </si>
  <si>
    <t>012_208_05_UMF_Coyuca_de_Benitez</t>
  </si>
  <si>
    <t>UMF Coyuca de Benitez</t>
  </si>
  <si>
    <t>Av. Cuauhtemoc SN Col. Centro</t>
  </si>
  <si>
    <t>Coyuca de Benitez</t>
  </si>
  <si>
    <t>Guerrero-UMF Cuajinicuilapa</t>
  </si>
  <si>
    <t>2006</t>
  </si>
  <si>
    <t>GRIST000392</t>
  </si>
  <si>
    <t>012-208-07</t>
  </si>
  <si>
    <t>012_208_07_UMF_Cuajinicuilapa</t>
  </si>
  <si>
    <t>UMF Cuajinicuilapa</t>
  </si>
  <si>
    <t>Hermenegildo Galeana SN Barrio Arriba Col. Los Lirios</t>
  </si>
  <si>
    <t>Cuajinicuilapa</t>
  </si>
  <si>
    <t>Coahuila-UMF Cuatrocienegas de Carranza</t>
  </si>
  <si>
    <t>3002</t>
  </si>
  <si>
    <t>CLIST000036</t>
  </si>
  <si>
    <t>005-206-02</t>
  </si>
  <si>
    <t>005_206_02_UMF_Cuatrocienegas_de_Carranza</t>
  </si>
  <si>
    <t>UMF Cuatrocienegas de Carranza</t>
  </si>
  <si>
    <t>Allende No. 300 Esq. con Corona Col. Centro</t>
  </si>
  <si>
    <t>Cuatrociennegas de Caranza</t>
  </si>
  <si>
    <t>Durango-UMF Cuencame</t>
  </si>
  <si>
    <t>2620</t>
  </si>
  <si>
    <t>DGIST000025</t>
  </si>
  <si>
    <t>010-206-01</t>
  </si>
  <si>
    <t>010_206_01_UMF_Cuencame</t>
  </si>
  <si>
    <t>UMF Cuencame</t>
  </si>
  <si>
    <t>Priv. Aquiles Serdan No. 200, Zona Centro</t>
  </si>
  <si>
    <t>Cuencame</t>
  </si>
  <si>
    <t>Puebla-UMF Cuetzalan de Progreso</t>
  </si>
  <si>
    <t>3259</t>
  </si>
  <si>
    <t>PLIST000031</t>
  </si>
  <si>
    <t>021-210-01</t>
  </si>
  <si>
    <t>021_210_01_UMF_Cuetzalan_de_Progreso</t>
  </si>
  <si>
    <t>UMF Cuetzalan de Progreso</t>
  </si>
  <si>
    <t>Zaragoza No. 34 Col. Centro</t>
  </si>
  <si>
    <t>Cd de Cuetzalan</t>
  </si>
  <si>
    <t>Tabasco-UMF Cunduacan</t>
  </si>
  <si>
    <t>3347</t>
  </si>
  <si>
    <t>TCIST000080</t>
  </si>
  <si>
    <t>027-206-03</t>
  </si>
  <si>
    <t>027_206_03_UMF_Cunduacan</t>
  </si>
  <si>
    <t>UMF Cunduacan</t>
  </si>
  <si>
    <t>Huinanguillo SN Col. Cunduacan</t>
  </si>
  <si>
    <t>Cunduacan</t>
  </si>
  <si>
    <t>Guanajuato-UMF Dolores Hidalgo</t>
  </si>
  <si>
    <t>3046</t>
  </si>
  <si>
    <t>GTIST000062</t>
  </si>
  <si>
    <t>011-206-01</t>
  </si>
  <si>
    <t>011_206_01_UMF_Dolores_Hidalgo</t>
  </si>
  <si>
    <t>UMF Dolores Hidalgo</t>
  </si>
  <si>
    <t>Rivera del Rio SN Col. Federacion</t>
  </si>
  <si>
    <t>Nuevo Leon-UMF Dr Arroyo</t>
  </si>
  <si>
    <t>3194</t>
  </si>
  <si>
    <t>NLIST000035</t>
  </si>
  <si>
    <t>019-204-07</t>
  </si>
  <si>
    <t>019_204_07_UMF_Dr_Arroyo</t>
  </si>
  <si>
    <t>UMF Dr Arroyo</t>
  </si>
  <si>
    <t>Jose Maria Morelos No. 30 Col. Centro</t>
  </si>
  <si>
    <t>Yucatan-UMF Dzidzantun</t>
  </si>
  <si>
    <t>2535</t>
  </si>
  <si>
    <t>YNIST000013</t>
  </si>
  <si>
    <t>031-201-03</t>
  </si>
  <si>
    <t>031_201_03_UMF_Dzidzantun</t>
  </si>
  <si>
    <t>UMF Dzidzantun</t>
  </si>
  <si>
    <t>19 No. 88 Col. Centro</t>
  </si>
  <si>
    <t>Dzidzantun</t>
  </si>
  <si>
    <t>San Luis Potosi-UMF Ebano</t>
  </si>
  <si>
    <t>2736</t>
  </si>
  <si>
    <t>SPIST000072</t>
  </si>
  <si>
    <t>024-205-02</t>
  </si>
  <si>
    <t>024_205_02_UMF_Ebano</t>
  </si>
  <si>
    <t>UMF Ebano</t>
  </si>
  <si>
    <t>Jalisco SN entre San Luis y Sinaloa Col. Obrera</t>
  </si>
  <si>
    <t>Ebano</t>
  </si>
  <si>
    <t>Sinaloa-UMF El Dorado</t>
  </si>
  <si>
    <t>3306</t>
  </si>
  <si>
    <t>SLIST000102</t>
  </si>
  <si>
    <t>025-206-04</t>
  </si>
  <si>
    <t>025_206_04_UMF_El_Dorado</t>
  </si>
  <si>
    <t>UMF El Dorado</t>
  </si>
  <si>
    <t>Flores Negras SN Col. Escobedo</t>
  </si>
  <si>
    <t>El Dorado</t>
  </si>
  <si>
    <t>Sinaloa-UMF El Fuerte</t>
  </si>
  <si>
    <t>3297</t>
  </si>
  <si>
    <t>SLIST000143</t>
  </si>
  <si>
    <t>025-205-06</t>
  </si>
  <si>
    <t>025_205_06_UMF_El_Fuerte</t>
  </si>
  <si>
    <t>UMF El Fuerte</t>
  </si>
  <si>
    <t>Carr. Los Mochis El Fuerte SN Col. Centro</t>
  </si>
  <si>
    <t>El Fuerte</t>
  </si>
  <si>
    <t>Jalisco-UMF El Grullo</t>
  </si>
  <si>
    <t>2685</t>
  </si>
  <si>
    <t>JCIST000062</t>
  </si>
  <si>
    <t>014-209-02</t>
  </si>
  <si>
    <t>014_209_02_UMF_El_Grullo</t>
  </si>
  <si>
    <t>UMF El Grullo</t>
  </si>
  <si>
    <t>Prol. Juan Valdivia No. 301 Col. Centro</t>
  </si>
  <si>
    <t>El Grullo</t>
  </si>
  <si>
    <t>Guerrero-UMF El Ocotito</t>
  </si>
  <si>
    <t>3080</t>
  </si>
  <si>
    <t>GRIST000124</t>
  </si>
  <si>
    <t>012-205-03</t>
  </si>
  <si>
    <t>012_205_03_UMF_El_Ocotito</t>
  </si>
  <si>
    <t>UMF El Ocotito</t>
  </si>
  <si>
    <t>Domicilio Conocido SN Col. Vista Hermosa</t>
  </si>
  <si>
    <t>El Ocotito</t>
  </si>
  <si>
    <t>Nuevo Leon-UMF El Potosi</t>
  </si>
  <si>
    <t>3198</t>
  </si>
  <si>
    <t>NLIST000052</t>
  </si>
  <si>
    <t>019-204-27</t>
  </si>
  <si>
    <t>019_204_27_UMF_El_Potosi</t>
  </si>
  <si>
    <t>UMF El Potosi</t>
  </si>
  <si>
    <t>Zaragoza No. 109 Col. Centro Ejido</t>
  </si>
  <si>
    <t>El Potosi Galeana</t>
  </si>
  <si>
    <t>Michoacan-UMF El Ranchito</t>
  </si>
  <si>
    <t>3167</t>
  </si>
  <si>
    <t>MNIST000115</t>
  </si>
  <si>
    <t>016-212-04</t>
  </si>
  <si>
    <t>016_212_04_UMF_El_Ranchito</t>
  </si>
  <si>
    <t>UMF El Ranchito</t>
  </si>
  <si>
    <t>Esq. Av. Rayon y Av. Hidalgo SN Col. Centro</t>
  </si>
  <si>
    <t>Coahuayana de Hidalgo</t>
  </si>
  <si>
    <t>Sinaloa-UMF El Rosario</t>
  </si>
  <si>
    <t>3291</t>
  </si>
  <si>
    <t>SLIST000225</t>
  </si>
  <si>
    <t>025-204-03</t>
  </si>
  <si>
    <t>025_204_03_UMF_El_Rosario</t>
  </si>
  <si>
    <t>UMF El Rosario</t>
  </si>
  <si>
    <t>Jose Lopez Portillo y Av. de los Deportes SN Col. Centro</t>
  </si>
  <si>
    <t>El Rosario</t>
  </si>
  <si>
    <t>Durango-UMF El Salto</t>
  </si>
  <si>
    <t>2626</t>
  </si>
  <si>
    <t>DGIST000124</t>
  </si>
  <si>
    <t>010-207-03</t>
  </si>
  <si>
    <t>010_207_03_UMF_El_Salto</t>
  </si>
  <si>
    <t>UMF El Salto</t>
  </si>
  <si>
    <t>C. Ignacio Lopez Rayon No. 204, Col. Insurgentes</t>
  </si>
  <si>
    <t>El Salto, Pueblo Nuevo</t>
  </si>
  <si>
    <t>Tabasco-UMF El Triunfo</t>
  </si>
  <si>
    <t>3356</t>
  </si>
  <si>
    <t>TCIST000022</t>
  </si>
  <si>
    <t>027-206-18</t>
  </si>
  <si>
    <t>027_206_18_UMF_El_Triunfo</t>
  </si>
  <si>
    <t>UMF El Triunfo</t>
  </si>
  <si>
    <t>Blvd. Francisco J. Santa Maria No. 237 Col. Villa del Triunfo</t>
  </si>
  <si>
    <t>Tabasco-UMF Emiliano Zapata</t>
  </si>
  <si>
    <t>3348</t>
  </si>
  <si>
    <t>TCIST000092</t>
  </si>
  <si>
    <t>027-206-04</t>
  </si>
  <si>
    <t>027_206_04_UMF_Emiliano_Zapata</t>
  </si>
  <si>
    <t>UMF Emiliano Zapata</t>
  </si>
  <si>
    <t>Francisco Col. Emiliano Zapata</t>
  </si>
  <si>
    <t>Sonora-UMF Empalme</t>
  </si>
  <si>
    <t>2300</t>
  </si>
  <si>
    <t>SRIST000075</t>
  </si>
  <si>
    <t>026-208-01</t>
  </si>
  <si>
    <t>026_208_01_UMF_Empalme</t>
  </si>
  <si>
    <t>UMF Empalme</t>
  </si>
  <si>
    <t>Av. de Las Americas y 1ro de Mayo SN Col. Libertad</t>
  </si>
  <si>
    <t>Empalme</t>
  </si>
  <si>
    <t>Campeche-UMF Escarcega</t>
  </si>
  <si>
    <t>2926</t>
  </si>
  <si>
    <t>CCIST000074</t>
  </si>
  <si>
    <t>004-204-04</t>
  </si>
  <si>
    <t>004_204_04_UMF_Escarcega</t>
  </si>
  <si>
    <t>UMF Escarcega</t>
  </si>
  <si>
    <t>28 Esq. Con 23 SN Col. Centro</t>
  </si>
  <si>
    <t>Escarcega</t>
  </si>
  <si>
    <t>Sinaloa-UMF Escuinapa</t>
  </si>
  <si>
    <t>3292</t>
  </si>
  <si>
    <t>SLIST000131</t>
  </si>
  <si>
    <t>025-204-04</t>
  </si>
  <si>
    <t>025_204_04_UMF_Escuinapa</t>
  </si>
  <si>
    <t>UMF Escuinapa</t>
  </si>
  <si>
    <t>Av.Sandra Calderon y Juventino SN Esq. Con Av. Culiacan Col. Centro</t>
  </si>
  <si>
    <t>Escuinapa</t>
  </si>
  <si>
    <t>Puebla-UMF Esperanza</t>
  </si>
  <si>
    <t>3258</t>
  </si>
  <si>
    <t>PLIST000060</t>
  </si>
  <si>
    <t>021-208-02</t>
  </si>
  <si>
    <t>021_208_02_UMF_Esperanza</t>
  </si>
  <si>
    <t>UMF Esperanza</t>
  </si>
  <si>
    <t>Miguel Hidalgo Esq. Emiliano Zapata SN Col. Centro</t>
  </si>
  <si>
    <t>Esperanza</t>
  </si>
  <si>
    <t>Sinaloa-UMF Estacion Bamoa</t>
  </si>
  <si>
    <t>3295</t>
  </si>
  <si>
    <t>SLIST000172</t>
  </si>
  <si>
    <t>025-205-03</t>
  </si>
  <si>
    <t>025_205_03_UMF_Estacion_Bamoa</t>
  </si>
  <si>
    <t>UMF Estacion Bamoa</t>
  </si>
  <si>
    <t>Zaragoza SN Bamoa Pueblo Col. Centro</t>
  </si>
  <si>
    <t>Estacion Bamoa (Campo Wilson)</t>
  </si>
  <si>
    <t>Sonora-UMF Estacion Esperanza</t>
  </si>
  <si>
    <t>2298</t>
  </si>
  <si>
    <t>SRIST000051</t>
  </si>
  <si>
    <t>026-205-01</t>
  </si>
  <si>
    <t>026_205_01_UMF_Estacion_Esperanza</t>
  </si>
  <si>
    <t>UMF Estacion Esperanza</t>
  </si>
  <si>
    <t>Magdalena Trujillo SN Esq. Puerto de Guaymas Col. Nueva Esperanza</t>
  </si>
  <si>
    <t>Sinaloa-UMF Estacion La Cruz</t>
  </si>
  <si>
    <t>3307</t>
  </si>
  <si>
    <t>SLIST000126</t>
  </si>
  <si>
    <t>025-206-06</t>
  </si>
  <si>
    <t>025_206_06_UMF_Estacion_La_Cruz</t>
  </si>
  <si>
    <t>UMF Estacion La Cruz</t>
  </si>
  <si>
    <t>La Cruz Km 17 Col. Arroyitos</t>
  </si>
  <si>
    <t>La Cruz de Elota</t>
  </si>
  <si>
    <t>Sonora-UMF Estacion Vicam</t>
  </si>
  <si>
    <t>3315</t>
  </si>
  <si>
    <t>SRIST000116</t>
  </si>
  <si>
    <t>026-205-02</t>
  </si>
  <si>
    <t>026_205_02_UMF_Estacion_Vicam</t>
  </si>
  <si>
    <t>UMF Estacion Vicam</t>
  </si>
  <si>
    <t>Crucero H. Colegio Militar y Zapata SN Col. Emiliano Zapata</t>
  </si>
  <si>
    <t>Vicam</t>
  </si>
  <si>
    <t>Sonora-UMF Etchojoa</t>
  </si>
  <si>
    <t>4516</t>
  </si>
  <si>
    <t>SRIST000302</t>
  </si>
  <si>
    <t>026-206-04</t>
  </si>
  <si>
    <t>026_206_04_UMF_Etchojoa</t>
  </si>
  <si>
    <t>UMF Etchojoa</t>
  </si>
  <si>
    <t>Carr. Etchojoa Hutabampo Km 1 Lt 2 Mz 71 Col. Centro</t>
  </si>
  <si>
    <t>Quintana Roo-UMF Felipe Carrillo Puerto</t>
  </si>
  <si>
    <t>3275</t>
  </si>
  <si>
    <t>QRIST000026</t>
  </si>
  <si>
    <t>023-204-01</t>
  </si>
  <si>
    <t>023_204_01_UMF_Felipe_Carrillo_Puerto</t>
  </si>
  <si>
    <t>UMF Felipe Carrillo Puerto</t>
  </si>
  <si>
    <t>Av. Santiago Pacheco Esq. 68 Col. Centro</t>
  </si>
  <si>
    <t>Felipe Carrillo Puerto</t>
  </si>
  <si>
    <t>Coahuila-UMF Francisco I Madero</t>
  </si>
  <si>
    <t>3006</t>
  </si>
  <si>
    <t>CLIST000041</t>
  </si>
  <si>
    <t>005-211-01</t>
  </si>
  <si>
    <t>005_211_01_UMF_Francisco_I_Madero</t>
  </si>
  <si>
    <t>UMF Francisco I Madero</t>
  </si>
  <si>
    <t>Lopez Mateos SN Col. Nuevo Linares</t>
  </si>
  <si>
    <t>Francisco I. Madero</t>
  </si>
  <si>
    <t>Tabasco-UMF Frontera Centla</t>
  </si>
  <si>
    <t>3336</t>
  </si>
  <si>
    <t>TCIST000051</t>
  </si>
  <si>
    <t>027-206-05</t>
  </si>
  <si>
    <t>027_206_05_UMF_Frontera_Centla</t>
  </si>
  <si>
    <t>UMF Frontera Centla</t>
  </si>
  <si>
    <t>Alvaro Obregon Sn Col. Jacobo Nazar</t>
  </si>
  <si>
    <t>Frontera</t>
  </si>
  <si>
    <t>Chiapas-UMF Frontera Comalapa</t>
  </si>
  <si>
    <t>CSIST000094</t>
  </si>
  <si>
    <t>007-207-01</t>
  </si>
  <si>
    <t>007_207_01_UMF_Frontera_Comalapa</t>
  </si>
  <si>
    <t>UMF Frontera Comalapa</t>
  </si>
  <si>
    <t>Segunda Calle Nte. Pte. 238, Col. Centro</t>
  </si>
  <si>
    <t>Frontera Comalapa</t>
  </si>
  <si>
    <t>Nuevo Leon-UMF Galeana</t>
  </si>
  <si>
    <t>3191</t>
  </si>
  <si>
    <t>NLIST000040</t>
  </si>
  <si>
    <t>019-204-08</t>
  </si>
  <si>
    <t>019_204_08_UMF_Galeana</t>
  </si>
  <si>
    <t>UMF Galeana</t>
  </si>
  <si>
    <t>Nuevo Leon SN entre Constitucon Col. Galeana</t>
  </si>
  <si>
    <t>Galeana</t>
  </si>
  <si>
    <t>Nuevo Leon-UMF Gral Bravo</t>
  </si>
  <si>
    <t>3195</t>
  </si>
  <si>
    <t>NLIST000064</t>
  </si>
  <si>
    <t>019-204-09</t>
  </si>
  <si>
    <t>019_204_09_UMF_Gral_Bravo</t>
  </si>
  <si>
    <t>UMF Gral Bravo</t>
  </si>
  <si>
    <t>Escobedo SN entre Porfirio Diaz Col. Centro</t>
  </si>
  <si>
    <t>Gral. Bravo</t>
  </si>
  <si>
    <t>Sinaloa-UMF Gral Juan Jose Rios</t>
  </si>
  <si>
    <t>3299</t>
  </si>
  <si>
    <t>SLIST000184</t>
  </si>
  <si>
    <t>025-205-10</t>
  </si>
  <si>
    <t>025_205_10_UMF_Gral_Juan_Jose_Rios</t>
  </si>
  <si>
    <t>UMF Gral Juan Jose Rios</t>
  </si>
  <si>
    <t>9 Av. Agua Calientita SN y Nahuilla Col. Centro</t>
  </si>
  <si>
    <t>Juan Jose Rios</t>
  </si>
  <si>
    <t>Chihuahua-UMF Guachochi</t>
  </si>
  <si>
    <t>2984</t>
  </si>
  <si>
    <t>CHIST000066</t>
  </si>
  <si>
    <t>008-207-04</t>
  </si>
  <si>
    <t>008_207_04_UMF_Guachochi</t>
  </si>
  <si>
    <t>UMF Guachochi</t>
  </si>
  <si>
    <t>Pascual Orozco SN Col. Los Pinos</t>
  </si>
  <si>
    <t>Guachochi</t>
  </si>
  <si>
    <t>Durango-UMF Guadalupe Victoria</t>
  </si>
  <si>
    <t>2627</t>
  </si>
  <si>
    <t>DGIST000066</t>
  </si>
  <si>
    <t>010-207-05</t>
  </si>
  <si>
    <t>010_207_05_UMF_Guadalupe_Victoria</t>
  </si>
  <si>
    <t>UMF Guadalupe Victoria</t>
  </si>
  <si>
    <t>Av. Heroes de Chapultepec SN, Zona Centro</t>
  </si>
  <si>
    <t>Guadalupe Victoria</t>
  </si>
  <si>
    <t>Sinaloa-UMF Guamuchil</t>
  </si>
  <si>
    <t>2749</t>
  </si>
  <si>
    <t>SLIST000230</t>
  </si>
  <si>
    <t>025-206-05</t>
  </si>
  <si>
    <t>025_206_05_UMF_Guamuchil</t>
  </si>
  <si>
    <t>UMF Guamuchil</t>
  </si>
  <si>
    <t>Gabriela Mistral No. 1126 Col. Magisterio</t>
  </si>
  <si>
    <t>Guamuchil</t>
  </si>
  <si>
    <t>Sinaloa-UMF Guasave</t>
  </si>
  <si>
    <t>2748</t>
  </si>
  <si>
    <t>SLIST000160</t>
  </si>
  <si>
    <t>025-205-08</t>
  </si>
  <si>
    <t>025_205_08_UMF_Guasave</t>
  </si>
  <si>
    <t>UMF Guasave</t>
  </si>
  <si>
    <t>Lazaro Cardenas SN Col. del Bosque</t>
  </si>
  <si>
    <t>Oaxaca-UMF Guelatao de Juarez</t>
  </si>
  <si>
    <t>3234</t>
  </si>
  <si>
    <t>OCIST000030</t>
  </si>
  <si>
    <t>020-209-04</t>
  </si>
  <si>
    <t>020_209_04_UMF_Guelatao_de_Juarez</t>
  </si>
  <si>
    <t>UMF Guelatao de Juarez</t>
  </si>
  <si>
    <t>Prof. Faustino Mendez Lopez Esq. Miguel Mendez SN Col. Centro</t>
  </si>
  <si>
    <t>Guelatado de Juarez</t>
  </si>
  <si>
    <t>Baja California Sur-UMF Guerrero Negro</t>
  </si>
  <si>
    <t>2901</t>
  </si>
  <si>
    <t>BSIST000055</t>
  </si>
  <si>
    <t>003-206-03</t>
  </si>
  <si>
    <t>003_206_03_UMF_Guerrero_Negro</t>
  </si>
  <si>
    <t>UMF Guerrero Negro</t>
  </si>
  <si>
    <t>Calz. de la Republica Esq. Sebastian Viscayno SN Col. Fovissste</t>
  </si>
  <si>
    <t>Guerrero Negro</t>
  </si>
  <si>
    <t>Veracruz-UMF Gutierrez Zamora</t>
  </si>
  <si>
    <t>3407</t>
  </si>
  <si>
    <t>VZIST000103</t>
  </si>
  <si>
    <t>030-209-05</t>
  </si>
  <si>
    <t>030_209_05_UMF_Gutierrez_Zamora</t>
  </si>
  <si>
    <t>UMF Gutierrez Zamora</t>
  </si>
  <si>
    <t>Galeana SN Col. Centro</t>
  </si>
  <si>
    <t>Gutierrez Zamora</t>
  </si>
  <si>
    <t>Zacatecas-UMF Hacienda Trancoso</t>
  </si>
  <si>
    <t>2803</t>
  </si>
  <si>
    <t>ZSIST000184</t>
  </si>
  <si>
    <t>032-204-25</t>
  </si>
  <si>
    <t>032_204_25_UMF_Hacienda_Trancoso</t>
  </si>
  <si>
    <t>UMF Hacienda Trancoso</t>
  </si>
  <si>
    <t>Adolfo Lopez Mateos No. 15 Col. Barrio la Embarcacion</t>
  </si>
  <si>
    <t>Trancoso</t>
  </si>
  <si>
    <t>Campeche-UMF Hecelchakan</t>
  </si>
  <si>
    <t>2924</t>
  </si>
  <si>
    <t>CCIST000050</t>
  </si>
  <si>
    <t>004-204-05</t>
  </si>
  <si>
    <t>004_204_05_UMF_Hecelchakan</t>
  </si>
  <si>
    <t>UMF Hecelchakan</t>
  </si>
  <si>
    <t>29 SN Col. Barrio de San Francisco</t>
  </si>
  <si>
    <t>Hecelchakan</t>
  </si>
  <si>
    <t>Campeche-UMF Hopelchen</t>
  </si>
  <si>
    <t>4591</t>
  </si>
  <si>
    <t>CCIST000062</t>
  </si>
  <si>
    <t>004-204-06</t>
  </si>
  <si>
    <t>004_204_06_UMF_Hopelchen</t>
  </si>
  <si>
    <t>UMF Hopelchen</t>
  </si>
  <si>
    <t>23 No. 80 A Col. San Roman</t>
  </si>
  <si>
    <t>Holpelchen</t>
  </si>
  <si>
    <t>Tlaxcala-UMF Huamantla</t>
  </si>
  <si>
    <t>4571</t>
  </si>
  <si>
    <t>TLIST000030</t>
  </si>
  <si>
    <t>029-204-03</t>
  </si>
  <si>
    <t>029_204_03_UMF_Huamantla</t>
  </si>
  <si>
    <t>UMF Huamantla</t>
  </si>
  <si>
    <t>Prol. Juarez SN Col. Union y Progrso</t>
  </si>
  <si>
    <t>Guerrero-UMF Huamuxtitlan</t>
  </si>
  <si>
    <t>3084</t>
  </si>
  <si>
    <t>GRIST000136</t>
  </si>
  <si>
    <t>012-205-09</t>
  </si>
  <si>
    <t>012_205_09_UMF_Huamuxtitlan</t>
  </si>
  <si>
    <t>UMF Huamuxtitlan</t>
  </si>
  <si>
    <t>Centenario SN Col. El Rosario Guerrero</t>
  </si>
  <si>
    <t>Sonora-UMF Huatabampo</t>
  </si>
  <si>
    <t>2299</t>
  </si>
  <si>
    <t>SRIST000145</t>
  </si>
  <si>
    <t>026-206-03</t>
  </si>
  <si>
    <t>026_206_03_UMF_Huatabampo</t>
  </si>
  <si>
    <t>UMF Huatabampo</t>
  </si>
  <si>
    <t>Prof. German Ibarra SN Col. Obregon</t>
  </si>
  <si>
    <t>Veracruz-UMF Huatusco de Chicuellar</t>
  </si>
  <si>
    <t>3397</t>
  </si>
  <si>
    <t>VZIST000506</t>
  </si>
  <si>
    <t>030-206-01</t>
  </si>
  <si>
    <t>030_206_01_UMF_Huatusco_de_Chicuellar</t>
  </si>
  <si>
    <t>UMF Huatusco de Chicuellar</t>
  </si>
  <si>
    <t>Av. 4 Oriente Esq. Calel 1 Norte Col. Centro</t>
  </si>
  <si>
    <t>Huatusco de Chicuellar</t>
  </si>
  <si>
    <t>Oaxaca-UMF Huautla de Jimenez</t>
  </si>
  <si>
    <t>3235</t>
  </si>
  <si>
    <t>OCIST000054</t>
  </si>
  <si>
    <t>020-209-05</t>
  </si>
  <si>
    <t>020_209_05_UMF_Huautla_de_Jimenez</t>
  </si>
  <si>
    <t>UMF Huautla de Jimenez</t>
  </si>
  <si>
    <t>Av. Constituyentes No. 99 Col. Centro</t>
  </si>
  <si>
    <t>Huautla de Jimenez</t>
  </si>
  <si>
    <t>Veracruz-UMF Huayacocotla</t>
  </si>
  <si>
    <t>3408</t>
  </si>
  <si>
    <t>VZIST000115</t>
  </si>
  <si>
    <t>030-209-06</t>
  </si>
  <si>
    <t>030_209_06_UMF_Huayacocotla</t>
  </si>
  <si>
    <t>UMF Huayacocotla</t>
  </si>
  <si>
    <t>Campo Deportivo Lazaro Cardenas No. 12 entre Cda. Emiliano Zapata Col. Centro</t>
  </si>
  <si>
    <t>Huayacocotla</t>
  </si>
  <si>
    <t>Hidalgo-UMF Huchiapan</t>
  </si>
  <si>
    <t>3120</t>
  </si>
  <si>
    <t>HGIST000053</t>
  </si>
  <si>
    <t>013-205-03</t>
  </si>
  <si>
    <t>013_205_03_UMF_Huchiapan</t>
  </si>
  <si>
    <t>UMF Huchiapan</t>
  </si>
  <si>
    <t>Sostenes Vega Esq. Maria Tapia Lugo SN Col. Barrio Huichapan</t>
  </si>
  <si>
    <t>Michoacan-UMF Huetamo de Nunez</t>
  </si>
  <si>
    <t>3146</t>
  </si>
  <si>
    <t>MNIST000074</t>
  </si>
  <si>
    <t>016-208-10</t>
  </si>
  <si>
    <t>016_208_10_UMF_Huetamo_de_Nunez</t>
  </si>
  <si>
    <t>UMF Huetamo de Nunez</t>
  </si>
  <si>
    <t>Rio Balsas 18 Col. Campestre</t>
  </si>
  <si>
    <t>Huetamo</t>
  </si>
  <si>
    <t>Tabasco-UMF Huimanguillo</t>
  </si>
  <si>
    <t>3349</t>
  </si>
  <si>
    <t>TCIST000104</t>
  </si>
  <si>
    <t>027-206-06</t>
  </si>
  <si>
    <t>027_206_06_UMF_Huimanguillo</t>
  </si>
  <si>
    <t>UMF Huimanguillo</t>
  </si>
  <si>
    <t>Av. de la Juventud SN Rancheria Villa Las Flores Col. Huimanguillo</t>
  </si>
  <si>
    <t>Huimanguillo</t>
  </si>
  <si>
    <t>Guerrero-UMF Huitzuco de Los Figueroa</t>
  </si>
  <si>
    <t>3088</t>
  </si>
  <si>
    <t>GRIST000141</t>
  </si>
  <si>
    <t>012-206-08</t>
  </si>
  <si>
    <t>012_206_08_UMF_Huitzuco_de_Los_Figueroa</t>
  </si>
  <si>
    <t>UMF Huitzuco de Los Figueroa</t>
  </si>
  <si>
    <t>Pinos Esq. con Cedros Col. El Real</t>
  </si>
  <si>
    <t>Cd de Huitzuco</t>
  </si>
  <si>
    <t>Chiapas-UMF Huixtla</t>
  </si>
  <si>
    <t>4580</t>
  </si>
  <si>
    <t>CSIST000106</t>
  </si>
  <si>
    <t>007-205-03</t>
  </si>
  <si>
    <t>007_205_03_UMF_Huixtla</t>
  </si>
  <si>
    <t>UMF Huixtla</t>
  </si>
  <si>
    <t>Av. Miguel Aleman Sur SN Col. Barrio San Jose</t>
  </si>
  <si>
    <t>Huixtla</t>
  </si>
  <si>
    <t>Baja California-UMF Isla Cedros</t>
  </si>
  <si>
    <t>2891</t>
  </si>
  <si>
    <t>BCIST000023</t>
  </si>
  <si>
    <t>002-206-02</t>
  </si>
  <si>
    <t>002_206_02_UMF_Isla_Cedros</t>
  </si>
  <si>
    <t>UMF Isla Cedros</t>
  </si>
  <si>
    <t>Issste Domicilio Conocido Isla de Cedro Baja California Col. Isla de Cedros</t>
  </si>
  <si>
    <t>Quintana Roo-UMF Isla Mujeres</t>
  </si>
  <si>
    <t>4588</t>
  </si>
  <si>
    <t>QRIST000031</t>
  </si>
  <si>
    <t>023-205-02</t>
  </si>
  <si>
    <t>023_205_02_UMF_Isla_Mujeres</t>
  </si>
  <si>
    <t>UMF Isla Mujeres</t>
  </si>
  <si>
    <t>Lopez Mateos con Carlos Lazo SN Col. Centro</t>
  </si>
  <si>
    <t>Isla Mujeres</t>
  </si>
  <si>
    <t>Nayarit-UMF Ixtlan del Rio</t>
  </si>
  <si>
    <t>3183</t>
  </si>
  <si>
    <t>NTIST000062</t>
  </si>
  <si>
    <t>018-206-04</t>
  </si>
  <si>
    <t>018_206_04_UMF_Ixtlan_del_Rio</t>
  </si>
  <si>
    <t>UMF Ixtlan del Rio</t>
  </si>
  <si>
    <t>Juan de Dios Pesa Poniente No. 106 Col. Everardo Pena Navarro</t>
  </si>
  <si>
    <t>Ixtlan del Rio</t>
  </si>
  <si>
    <t>Yucatan-UMF Izamal</t>
  </si>
  <si>
    <t>2536</t>
  </si>
  <si>
    <t>YNIST000025</t>
  </si>
  <si>
    <t>031-201-05</t>
  </si>
  <si>
    <t>031_201_05_UMF_Izamal</t>
  </si>
  <si>
    <t>UMF Izamal</t>
  </si>
  <si>
    <t>32 No. 305 Col. Centro</t>
  </si>
  <si>
    <t>Izamal</t>
  </si>
  <si>
    <t>Puebla-UMF Izucar de Matamoros</t>
  </si>
  <si>
    <t>3253</t>
  </si>
  <si>
    <t>PLIST000096</t>
  </si>
  <si>
    <t>021-206-03</t>
  </si>
  <si>
    <t>021_206_03_UMF_Izucar_de_Matamoros</t>
  </si>
  <si>
    <t>UMF Izucar de Matamoros</t>
  </si>
  <si>
    <t>Av. Prol. Hidalgo No. 59 Col. Barrio de Santa Catarina</t>
  </si>
  <si>
    <t>Hidalgo-UMF Jacala</t>
  </si>
  <si>
    <t>3121</t>
  </si>
  <si>
    <t>HGIST000205</t>
  </si>
  <si>
    <t>013-205-04</t>
  </si>
  <si>
    <t>013_205_04_UMF_Jacala</t>
  </si>
  <si>
    <t>UMF Jacala</t>
  </si>
  <si>
    <t>Av. de Los Frijoles SN a un Costado Carr. Nacional Mexico Ladero en Hidalgo Col. Barrio San Isidro</t>
  </si>
  <si>
    <t>Jacala</t>
  </si>
  <si>
    <t>Nayarit-UMF Jala</t>
  </si>
  <si>
    <t>3185</t>
  </si>
  <si>
    <t>NTIST000074</t>
  </si>
  <si>
    <t>018-206-07</t>
  </si>
  <si>
    <t>018_206_07_UMF_Jala</t>
  </si>
  <si>
    <t>UMF Jala</t>
  </si>
  <si>
    <t>Veracruz SN Esq. Manuel Acuna Col. Jardines del Llano</t>
  </si>
  <si>
    <t>Jala</t>
  </si>
  <si>
    <t>Zacatecas-UMF Jalpa</t>
  </si>
  <si>
    <t>2798</t>
  </si>
  <si>
    <t>ZSIST000056</t>
  </si>
  <si>
    <t>032-204-09</t>
  </si>
  <si>
    <t>032_204_09_UMF_Jalpa</t>
  </si>
  <si>
    <t>UMF Jalpa</t>
  </si>
  <si>
    <t>Priv. Colon SN Col. Centro</t>
  </si>
  <si>
    <t>Jalpa</t>
  </si>
  <si>
    <t>Tabasco-UMF Jalpa de Mendez</t>
  </si>
  <si>
    <t>3350</t>
  </si>
  <si>
    <t>TCIST000116</t>
  </si>
  <si>
    <t>027-206-07</t>
  </si>
  <si>
    <t>027_206_07_UMF_Jalpa_de_Mendez</t>
  </si>
  <si>
    <t>UMF Jalpa de Mendez</t>
  </si>
  <si>
    <t>Francisco I. Madero SN Col. Jalpa de Mendez</t>
  </si>
  <si>
    <t>Jalpa de Mendez</t>
  </si>
  <si>
    <t>Queretaro-UMF Jalpan de Serra</t>
  </si>
  <si>
    <t>3264</t>
  </si>
  <si>
    <t>QTIST000034</t>
  </si>
  <si>
    <t>022-205-08</t>
  </si>
  <si>
    <t>022_205_08_UMF_Jalpan_de_Serra</t>
  </si>
  <si>
    <t>UMF Jalpan de Serra</t>
  </si>
  <si>
    <t>Esq. Galeana Nicolas Bravo No. 111 Col. Centro</t>
  </si>
  <si>
    <t>Jalpan de Serra</t>
  </si>
  <si>
    <t>Tamaulipas-UMF Jaumave</t>
  </si>
  <si>
    <t>2036</t>
  </si>
  <si>
    <t>TSIST000252</t>
  </si>
  <si>
    <t>028-204-03</t>
  </si>
  <si>
    <t>028_204_03_UMF_Jaumave</t>
  </si>
  <si>
    <t>UMF Jaumave</t>
  </si>
  <si>
    <t>Rayon y Juarez Morelos SN Col. Centro</t>
  </si>
  <si>
    <t>Jaumave</t>
  </si>
  <si>
    <t>Zacatecas-UMF Jerez</t>
  </si>
  <si>
    <t>3420</t>
  </si>
  <si>
    <t>ZSIST000061</t>
  </si>
  <si>
    <t>032-204-10</t>
  </si>
  <si>
    <t>032_204_10_UMF_Jerez</t>
  </si>
  <si>
    <t>UMF Jerez</t>
  </si>
  <si>
    <t>Central Cd. Deportiva Col. Cervantes Corona</t>
  </si>
  <si>
    <t>Jerez</t>
  </si>
  <si>
    <t>Estado de Mexico-UMF Jilotepec de Abasolo</t>
  </si>
  <si>
    <t>2645</t>
  </si>
  <si>
    <t>MCIST000092</t>
  </si>
  <si>
    <t>015-213-05</t>
  </si>
  <si>
    <t>015_213_05_UMF_Jilotepec_de_Abasolo</t>
  </si>
  <si>
    <t>UMF Jilotepec de Abasolo</t>
  </si>
  <si>
    <t>Lic. Jose Vasconcelos SN Col. Vista Hermosa</t>
  </si>
  <si>
    <t>Jilotepec</t>
  </si>
  <si>
    <t>Michoacan-UMF Jiquilpan de Juarez</t>
  </si>
  <si>
    <t>4602</t>
  </si>
  <si>
    <t>MNIST000086</t>
  </si>
  <si>
    <t>016-211-01</t>
  </si>
  <si>
    <t>016_211_01_UMF_Jiquilpan_de_Juarez</t>
  </si>
  <si>
    <t>UMF Jiquilpan de Juarez</t>
  </si>
  <si>
    <t>Ignacio Altamirano No. 228 Col. Centro</t>
  </si>
  <si>
    <t>Chiapas-UMF Jiquipilas</t>
  </si>
  <si>
    <t>2973</t>
  </si>
  <si>
    <t>CSIST000111</t>
  </si>
  <si>
    <t>007-208-08</t>
  </si>
  <si>
    <t>007_208_08_UMF_Jiquipilas</t>
  </si>
  <si>
    <t>UMF Jiquipilas</t>
  </si>
  <si>
    <t>Av. Central No. 90 Col. San Sebastian</t>
  </si>
  <si>
    <t>Jiquipilas</t>
  </si>
  <si>
    <t>Morelos-UMF Jonacatepec</t>
  </si>
  <si>
    <t>2694</t>
  </si>
  <si>
    <t>MSIST000071</t>
  </si>
  <si>
    <t>017-205-01</t>
  </si>
  <si>
    <t>017_205_01_UMF_Jonacatepec</t>
  </si>
  <si>
    <t>UMF Jonacatepec</t>
  </si>
  <si>
    <t>Hidalgo No. 22 Dentro del Palacio Municipal Col. Centro</t>
  </si>
  <si>
    <t>Jonacatepec</t>
  </si>
  <si>
    <t>Durango-UMF Jose Guadalupe Aguilera</t>
  </si>
  <si>
    <t>2628</t>
  </si>
  <si>
    <t>DGIST000445</t>
  </si>
  <si>
    <t>010-207-07</t>
  </si>
  <si>
    <t>010_207_07_UMF_Jose_Guadalupe_Aguilera</t>
  </si>
  <si>
    <t>UMF Jose Guadalupe Aguilera</t>
  </si>
  <si>
    <t>C. Degollados SN, Zona Centro</t>
  </si>
  <si>
    <t>Santa Lucia, Canatlan</t>
  </si>
  <si>
    <t>Quintana Roo-UMF Jose Ma Morelos</t>
  </si>
  <si>
    <t>3270</t>
  </si>
  <si>
    <t>QRIST000060</t>
  </si>
  <si>
    <t>023-204-02</t>
  </si>
  <si>
    <t>023_204_02_UMF_Jose_Ma_Morelos</t>
  </si>
  <si>
    <t>UMF Jose Ma Morelos</t>
  </si>
  <si>
    <t>Benito Juarez SN Esq. Jacinto Canek Col. Centro</t>
  </si>
  <si>
    <t>Jose Maria Morelos</t>
  </si>
  <si>
    <t>Zacatecas-UMF Juan Aldama</t>
  </si>
  <si>
    <t>2806</t>
  </si>
  <si>
    <t>ZSIST000073</t>
  </si>
  <si>
    <t>032-205-11</t>
  </si>
  <si>
    <t>032_205_11_UMF_Juan_Aldama</t>
  </si>
  <si>
    <t>UMF Juan Aldama</t>
  </si>
  <si>
    <t>Morelos No. 29 Col. Centro</t>
  </si>
  <si>
    <t>Juan Aldama</t>
  </si>
  <si>
    <t>Zacatecas-UMF Juchipila</t>
  </si>
  <si>
    <t>2799</t>
  </si>
  <si>
    <t>ZSIST000085</t>
  </si>
  <si>
    <t>032-204-12</t>
  </si>
  <si>
    <t>032_204_12_UMF_Juchipila</t>
  </si>
  <si>
    <t>UMF Juchipila</t>
  </si>
  <si>
    <t>Ruisenor SN Col. Fracc. Reyna Elena Zona Centro</t>
  </si>
  <si>
    <t>Juchipila</t>
  </si>
  <si>
    <t>Oaxaca-UMF Juchitan de Zaragoza</t>
  </si>
  <si>
    <t>4574</t>
  </si>
  <si>
    <t>OCIST000066</t>
  </si>
  <si>
    <t>020-204-02</t>
  </si>
  <si>
    <t>020_204_02_UMF_Juchitan_de_Zaragoza</t>
  </si>
  <si>
    <t>UMF Juchitan de Zaragoza</t>
  </si>
  <si>
    <t>Guanajuato-UMF Juventino Rosas</t>
  </si>
  <si>
    <t>3904</t>
  </si>
  <si>
    <t>GTIST000342</t>
  </si>
  <si>
    <t>011-207-08</t>
  </si>
  <si>
    <t>011_207_08_UMF_Juventino_Rosas</t>
  </si>
  <si>
    <t>UMF Juventino Rosas</t>
  </si>
  <si>
    <t>Jose Vasconcelos No. 103 Esq.Moises Col. Magisterial</t>
  </si>
  <si>
    <t>Juventino Rosas</t>
  </si>
  <si>
    <t>Quintana Roo-UMF Kantunilquin</t>
  </si>
  <si>
    <t>3271</t>
  </si>
  <si>
    <t>QRIST000072</t>
  </si>
  <si>
    <t>023-205-01</t>
  </si>
  <si>
    <t>023_205_01_UMF_Kantunilquin</t>
  </si>
  <si>
    <t>UMF Kantunilquin</t>
  </si>
  <si>
    <t>Jose Maria SN Esq. Reforma Col. Expo</t>
  </si>
  <si>
    <t>Kantunilkin</t>
  </si>
  <si>
    <t>Jalisco-UMF La Barca</t>
  </si>
  <si>
    <t>2681</t>
  </si>
  <si>
    <t>JCIST000033</t>
  </si>
  <si>
    <t>014-206-04</t>
  </si>
  <si>
    <t>014_206_04_UMF_La_Barca</t>
  </si>
  <si>
    <t>UMF La Barca</t>
  </si>
  <si>
    <t>Paseo del Rio Lerma 183 Col. Loma Bonita</t>
  </si>
  <si>
    <t>La Barca</t>
  </si>
  <si>
    <t>Sinaloa-UMF La Esperanza</t>
  </si>
  <si>
    <t>2284</t>
  </si>
  <si>
    <t>SLIST000201</t>
  </si>
  <si>
    <t>025-204-07</t>
  </si>
  <si>
    <t>025_204_07_UMF_La_Esperanza</t>
  </si>
  <si>
    <t>UMF La Esperanza</t>
  </si>
  <si>
    <t>Isla de Pajaros SN Esq. Blvd. Luis Donaldo Colosio Col. Fracc. Fovissste Esperanza</t>
  </si>
  <si>
    <t>Michoacan-UMF La Huacana</t>
  </si>
  <si>
    <t>3160</t>
  </si>
  <si>
    <t>MNIST000062</t>
  </si>
  <si>
    <t>016-206-07</t>
  </si>
  <si>
    <t>016_206_07_UMF_La_Huacana</t>
  </si>
  <si>
    <t>UMF La Huacana</t>
  </si>
  <si>
    <t>Correjidora No. 71 Col. Centro</t>
  </si>
  <si>
    <t>La Huacana</t>
  </si>
  <si>
    <t>Jalisco-UMF La Huerta</t>
  </si>
  <si>
    <t>2686</t>
  </si>
  <si>
    <t>JCIST000453</t>
  </si>
  <si>
    <t>014-209-03</t>
  </si>
  <si>
    <t>014_209_03_UMF_La_Huerta</t>
  </si>
  <si>
    <t>UMF La Huerta</t>
  </si>
  <si>
    <t>5 de Mayo No. 301 Col. Solidaridad</t>
  </si>
  <si>
    <t>La Huerta</t>
  </si>
  <si>
    <t>Durango-UMF Las Nieves</t>
  </si>
  <si>
    <t>2813</t>
  </si>
  <si>
    <t>DGIST000100</t>
  </si>
  <si>
    <t>010-206-05</t>
  </si>
  <si>
    <t>010_206_05_UMF_Las_Nieves</t>
  </si>
  <si>
    <t>UMF Las Nieves</t>
  </si>
  <si>
    <t>C. General Tomas Urbina SN, Zona Centro</t>
  </si>
  <si>
    <t>Villa Las Nieves, Ocampo</t>
  </si>
  <si>
    <t>Nayarit-UMF Las Varas</t>
  </si>
  <si>
    <t>3184</t>
  </si>
  <si>
    <t>NTIST000050</t>
  </si>
  <si>
    <t>018-206-06</t>
  </si>
  <si>
    <t>018_206_06_UMF_Las_Varas</t>
  </si>
  <si>
    <t>UMF Las Varas</t>
  </si>
  <si>
    <t>Hidalgo y Michoacan SN Col. San Jose</t>
  </si>
  <si>
    <t>Las Varas</t>
  </si>
  <si>
    <t>Guerrero-UMF Las Vigas</t>
  </si>
  <si>
    <t>3095</t>
  </si>
  <si>
    <t>GRIST000240</t>
  </si>
  <si>
    <t>012-208-10</t>
  </si>
  <si>
    <t>012_208_10_UMF_Las_Vigas</t>
  </si>
  <si>
    <t>UMF Las Vigas</t>
  </si>
  <si>
    <t>Domicilio Conocido SN Cerca de la Iglesia Principal y por El Zocalo Col. Zocalo Las Vigas Guerrero</t>
  </si>
  <si>
    <t>Las Vigas</t>
  </si>
  <si>
    <t>Veracruz-UMF Lerdo de Tejada</t>
  </si>
  <si>
    <t>3412</t>
  </si>
  <si>
    <t>VZIST000132</t>
  </si>
  <si>
    <t>030-213-04</t>
  </si>
  <si>
    <t>030_213_04_UMF_Lerdo_de_Tejada</t>
  </si>
  <si>
    <t>UMF Lerdo de Tejada</t>
  </si>
  <si>
    <t>Marco Antonio Munoz SN Col. Jose Maria Martinez</t>
  </si>
  <si>
    <t>Lerdo de Tejada</t>
  </si>
  <si>
    <t>Estado de Mexico-UMF Lerma de Villada Villa Carmela</t>
  </si>
  <si>
    <t>2449</t>
  </si>
  <si>
    <t>MCIST000104</t>
  </si>
  <si>
    <t>015-213-16</t>
  </si>
  <si>
    <t>015_213_16_UMF_Lerma_de_Villada_Villa_Carmela</t>
  </si>
  <si>
    <t>UMF Lerma de Villada Villa Carmela</t>
  </si>
  <si>
    <t>20 de Noviembre SN Col. Lerma</t>
  </si>
  <si>
    <t>Lerma de Villada</t>
  </si>
  <si>
    <t>Tamaulipas-UMF Llera de Canales</t>
  </si>
  <si>
    <t>3369</t>
  </si>
  <si>
    <t>TSIST000042</t>
  </si>
  <si>
    <t>028-204-06</t>
  </si>
  <si>
    <t>028_204_06_UMF_Llera_de_Canales</t>
  </si>
  <si>
    <t>UMF Llera de Canales</t>
  </si>
  <si>
    <t>Morelos No. 17 Col. Centro</t>
  </si>
  <si>
    <t>Llera de Canales</t>
  </si>
  <si>
    <t>Oaxaca-UMF Loma Bonita</t>
  </si>
  <si>
    <t>4593</t>
  </si>
  <si>
    <t>OCIST000071</t>
  </si>
  <si>
    <t>020-206-02</t>
  </si>
  <si>
    <t>020_206_02_Loma_Bonita</t>
  </si>
  <si>
    <t>UMF Loma Bonita</t>
  </si>
  <si>
    <t>Aguascalientes Esq. Colima SN Barrio la Escobeta</t>
  </si>
  <si>
    <t>Loma Bonita</t>
  </si>
  <si>
    <t>Baja California Sur-UMF Loreto</t>
  </si>
  <si>
    <t>2900</t>
  </si>
  <si>
    <t>BSIST000113</t>
  </si>
  <si>
    <t>003-205-01</t>
  </si>
  <si>
    <t>003_205_01_UMF_Loreto</t>
  </si>
  <si>
    <t>UMF Loreto</t>
  </si>
  <si>
    <t>Tamaral SN Col. Centro</t>
  </si>
  <si>
    <t>Loreto</t>
  </si>
  <si>
    <t>Baja California-UMF Los Algodones</t>
  </si>
  <si>
    <t>2892</t>
  </si>
  <si>
    <t>BCIST000076</t>
  </si>
  <si>
    <t>002-204-01</t>
  </si>
  <si>
    <t>002_204_01_UMF_Los_Algodones</t>
  </si>
  <si>
    <t>UMF Los Algodones</t>
  </si>
  <si>
    <t>B SN Esq. 4 Col. Poblado Los Algodones</t>
  </si>
  <si>
    <t>Vicente Guerrero</t>
  </si>
  <si>
    <t>Tamaulipas-UMF Los Aztecas</t>
  </si>
  <si>
    <t>3379</t>
  </si>
  <si>
    <t>TSIST000066</t>
  </si>
  <si>
    <t>028-210-01</t>
  </si>
  <si>
    <t>028_210_01_UMF_Los_Aztecas</t>
  </si>
  <si>
    <t>UMF Los Aztecas</t>
  </si>
  <si>
    <t>Adolfo Lopez Mateos Esq. Vicente Guerrero SN Col. Centro</t>
  </si>
  <si>
    <t>Los Aztecas</t>
  </si>
  <si>
    <t>Michoacan-UMF Los Reyes de Salgado</t>
  </si>
  <si>
    <t>3145</t>
  </si>
  <si>
    <t>MNIST000173</t>
  </si>
  <si>
    <t>016-209-04</t>
  </si>
  <si>
    <t>016_209_04_UMF_Los_Reyes_de_Salgado</t>
  </si>
  <si>
    <t>UMF Los Reyes de Salgado</t>
  </si>
  <si>
    <t>Cuitzeo Charapan SN Col. Purembe</t>
  </si>
  <si>
    <t>Los Reyes</t>
  </si>
  <si>
    <t>Tabasco-UMF Macuspana</t>
  </si>
  <si>
    <t>3351</t>
  </si>
  <si>
    <t>TCIST000121</t>
  </si>
  <si>
    <t>027-206-08</t>
  </si>
  <si>
    <t>027_206_08_UMF_Macuspana</t>
  </si>
  <si>
    <t>UMF Macuspana</t>
  </si>
  <si>
    <t>Heriberto Jaras SN Col. Macuspana</t>
  </si>
  <si>
    <t>Macuspana</t>
  </si>
  <si>
    <t>Chihuahua-UMF Madera</t>
  </si>
  <si>
    <t>2981</t>
  </si>
  <si>
    <t>CHIST000124</t>
  </si>
  <si>
    <t>008-210-13</t>
  </si>
  <si>
    <t>008_210_13_UMF_Madera</t>
  </si>
  <si>
    <t>UMF Madera</t>
  </si>
  <si>
    <t>23 SN Col. Barrio El Estadio</t>
  </si>
  <si>
    <t>Madera</t>
  </si>
  <si>
    <t>Chiapas-UMF Mapastepec</t>
  </si>
  <si>
    <t>2963</t>
  </si>
  <si>
    <t>CSIST000123</t>
  </si>
  <si>
    <t>007-205-04</t>
  </si>
  <si>
    <t>007_205_04_UMF_Mapastepec</t>
  </si>
  <si>
    <t>UMF Mapastepec</t>
  </si>
  <si>
    <t>19 Pte. y 2da. Av. Nte. Col. Barrio Malucal</t>
  </si>
  <si>
    <t>Mapastepec</t>
  </si>
  <si>
    <t>Durango-UMF Mapimi</t>
  </si>
  <si>
    <t>2621</t>
  </si>
  <si>
    <t>DGIST000071</t>
  </si>
  <si>
    <t>010-206-06</t>
  </si>
  <si>
    <t>010_206_06_UMF_Mapimi</t>
  </si>
  <si>
    <t>UMF Mapimi</t>
  </si>
  <si>
    <t>C. Zaragoza SN, Zona Centro</t>
  </si>
  <si>
    <t>Mapimi</t>
  </si>
  <si>
    <t>Michoacan-UMF Maravatio de Ocampo</t>
  </si>
  <si>
    <t>3144</t>
  </si>
  <si>
    <t>MNIST000091</t>
  </si>
  <si>
    <t>016-214-02</t>
  </si>
  <si>
    <t>016_214_02_UMF_Maravatio_de_Ocampo</t>
  </si>
  <si>
    <t>UMF Maravatio de Ocampo</t>
  </si>
  <si>
    <t>Francisco Mujica SN Col. Fovissste</t>
  </si>
  <si>
    <t>Maravatio</t>
  </si>
  <si>
    <t>Chiapas-UMF Margaritas</t>
  </si>
  <si>
    <t>2440</t>
  </si>
  <si>
    <t>CSIST000391</t>
  </si>
  <si>
    <t>007-207-02</t>
  </si>
  <si>
    <t>007_207_02_UMF_Margaritas</t>
  </si>
  <si>
    <t>UMF Margaritas</t>
  </si>
  <si>
    <t>5 Sur Pte. No 19 Col. Centro</t>
  </si>
  <si>
    <t>Las Margaritas</t>
  </si>
  <si>
    <t>Guerrero-UMF Marquelia</t>
  </si>
  <si>
    <t>3096</t>
  </si>
  <si>
    <t>GRIST000071</t>
  </si>
  <si>
    <t>012-208-11</t>
  </si>
  <si>
    <t>012_208_11_UMF_Marquelia</t>
  </si>
  <si>
    <t>UMF Marquelia</t>
  </si>
  <si>
    <t>Constitucion No. 32 Col. 16 de Septiembre</t>
  </si>
  <si>
    <t>Marquelia</t>
  </si>
  <si>
    <t>Jalisco-UMF Mascota</t>
  </si>
  <si>
    <t>4519</t>
  </si>
  <si>
    <t>JCIST000523</t>
  </si>
  <si>
    <t>014-210-06</t>
  </si>
  <si>
    <t>014_210_06_UMF_Mascota</t>
  </si>
  <si>
    <t>UMF Mascota</t>
  </si>
  <si>
    <t>Juan Robles Hurtado Col. Villas del Molino</t>
  </si>
  <si>
    <t>Mascota</t>
  </si>
  <si>
    <t>Coahuila-UMF Matamoros</t>
  </si>
  <si>
    <t>2349</t>
  </si>
  <si>
    <t>CLIST000053</t>
  </si>
  <si>
    <t>005-216-01</t>
  </si>
  <si>
    <t>005_216_01_UMF_Matamoros</t>
  </si>
  <si>
    <t>UMF Matamoros</t>
  </si>
  <si>
    <t>Guillermo Prieto e Independencia SN Col. Zona Centro</t>
  </si>
  <si>
    <t>Oaxaca-UMF Matias Romero</t>
  </si>
  <si>
    <t>3223</t>
  </si>
  <si>
    <t>OCIST000083</t>
  </si>
  <si>
    <t>020-205-01</t>
  </si>
  <si>
    <t>020_205_01_UMF_Matias_Romero</t>
  </si>
  <si>
    <t>UMF Matias Romero</t>
  </si>
  <si>
    <t>Mina y Corregidora SN Col. Centro</t>
  </si>
  <si>
    <t>Matias Romero</t>
  </si>
  <si>
    <t>Yucatan-UMF Maxcanu</t>
  </si>
  <si>
    <t>2538</t>
  </si>
  <si>
    <t>YNIST000124</t>
  </si>
  <si>
    <t>031-201-06</t>
  </si>
  <si>
    <t>031_201_06_UMF_Maxcanu</t>
  </si>
  <si>
    <t>UMF Maxcanu Maxcanu</t>
  </si>
  <si>
    <t>20 Por 15 A y B No. 82 Col. Maxcanu</t>
  </si>
  <si>
    <t>Maxcanu</t>
  </si>
  <si>
    <t>Hidalgo-UMF Metzitlan</t>
  </si>
  <si>
    <t>3117</t>
  </si>
  <si>
    <t>HGIST000070</t>
  </si>
  <si>
    <t>013-210-04</t>
  </si>
  <si>
    <t>013_210_04_UMF_Metzitlan</t>
  </si>
  <si>
    <t>UMF Metzitlan</t>
  </si>
  <si>
    <t>2 de Febrero SN Col. Barrio de Cotlan</t>
  </si>
  <si>
    <t>Meztitlan</t>
  </si>
  <si>
    <t>Oaxaca-UMF Miahuatlan de Porfirio Diaz</t>
  </si>
  <si>
    <t>4559</t>
  </si>
  <si>
    <t>OCIST000095</t>
  </si>
  <si>
    <t>020-209-06</t>
  </si>
  <si>
    <t>020_209_06_UMF_Miahuatlan_de_Porfirio_Diaz</t>
  </si>
  <si>
    <t>UMF Miahuatlan de Porfirio Diaz</t>
  </si>
  <si>
    <t>Mariano Escobedo No. 306 Col. Barrio Arriba</t>
  </si>
  <si>
    <t>Miahuatlan de Porfirio Diaz</t>
  </si>
  <si>
    <t>Hidalgo-UMF Mineral del Monte</t>
  </si>
  <si>
    <t>3118</t>
  </si>
  <si>
    <t>HGIST000210</t>
  </si>
  <si>
    <t>013-210-05</t>
  </si>
  <si>
    <t>013_210_05_UMF_Mineral_del_Monte</t>
  </si>
  <si>
    <t>UMF Mineral del Monte</t>
  </si>
  <si>
    <t>Jesus Teran SN Col. Barrio del Purero del Monte</t>
  </si>
  <si>
    <t>Mineral del Monte</t>
  </si>
  <si>
    <t>Veracruz-UMF Misantla</t>
  </si>
  <si>
    <t>3416</t>
  </si>
  <si>
    <t>VZIST000161</t>
  </si>
  <si>
    <t>030-216-03</t>
  </si>
  <si>
    <t>030_216_03_UMF_Misantla</t>
  </si>
  <si>
    <t>UMF Misantla</t>
  </si>
  <si>
    <t>Priv. Venustiano Carranza SN. Col. Benito Juarez</t>
  </si>
  <si>
    <t>Misantla</t>
  </si>
  <si>
    <t>Guerrero-UMF Mochitlan</t>
  </si>
  <si>
    <t>2007</t>
  </si>
  <si>
    <t>GRIST000450</t>
  </si>
  <si>
    <t>012-205-02</t>
  </si>
  <si>
    <t>012_205_02_UMF_Mochitlan</t>
  </si>
  <si>
    <t>UMF Mochitlan</t>
  </si>
  <si>
    <t>Libertad SN Col. Barrio de San Pedro</t>
  </si>
  <si>
    <t>Sinaloa-UMF Mocorito</t>
  </si>
  <si>
    <t>3308</t>
  </si>
  <si>
    <t>SLIST000213</t>
  </si>
  <si>
    <t>025-206-07</t>
  </si>
  <si>
    <t>025_206_07_UMF_Mocorito</t>
  </si>
  <si>
    <t>UMF Mocorito</t>
  </si>
  <si>
    <t>Carr. Ahuamuchil Km 1 Mocorito Sinaloa Col. Centro</t>
  </si>
  <si>
    <t>Mocorito</t>
  </si>
  <si>
    <t>Sonora-UMF Moctezuma</t>
  </si>
  <si>
    <t>3321</t>
  </si>
  <si>
    <t>SRIST000150</t>
  </si>
  <si>
    <t>026-212-04</t>
  </si>
  <si>
    <t>026_212_04_UMF_Moctezuma</t>
  </si>
  <si>
    <t>UMF Moctezuma</t>
  </si>
  <si>
    <t>Rosales Esq. Encino SN Col. Coplamar</t>
  </si>
  <si>
    <t>Moctezuma</t>
  </si>
  <si>
    <t>Hidalgo-UMF Molango</t>
  </si>
  <si>
    <t>3124</t>
  </si>
  <si>
    <t>HGIST000094</t>
  </si>
  <si>
    <t>013-207-06</t>
  </si>
  <si>
    <t>013_207_06_UMF_Molango</t>
  </si>
  <si>
    <t>UMF Molango</t>
  </si>
  <si>
    <t>Corregidora No. 1 Col. Barrio Alameda</t>
  </si>
  <si>
    <t>Molango</t>
  </si>
  <si>
    <t>Nuevo Leon-UMF Montemorelos</t>
  </si>
  <si>
    <t>3196</t>
  </si>
  <si>
    <t>NLIST000081</t>
  </si>
  <si>
    <t>019-204-16</t>
  </si>
  <si>
    <t>019_204_16_UMF_Montemorelos</t>
  </si>
  <si>
    <t>UMF Montemorelos</t>
  </si>
  <si>
    <t>Rayon No. 205 Col. del Maesrtro</t>
  </si>
  <si>
    <t>Montemorelos</t>
  </si>
  <si>
    <t>Guanajuato-UMF Moroleon</t>
  </si>
  <si>
    <t>3042</t>
  </si>
  <si>
    <t>GTIST000103</t>
  </si>
  <si>
    <t>011-204-03</t>
  </si>
  <si>
    <t>011_204_03_UMF_Moroleon</t>
  </si>
  <si>
    <t>UMF Moroleon</t>
  </si>
  <si>
    <t>Diamante No. 30. Col. Fracc. El Pedregal</t>
  </si>
  <si>
    <t>Moroleon</t>
  </si>
  <si>
    <t>Chiapas-UMF Motozintla de Mendoza</t>
  </si>
  <si>
    <t>2939</t>
  </si>
  <si>
    <t>CSIST000135</t>
  </si>
  <si>
    <t>007-205-05</t>
  </si>
  <si>
    <t>007_205_05_UMF_Motozintla_de_Mendoza</t>
  </si>
  <si>
    <t>UMF Motozintla de Mendoza</t>
  </si>
  <si>
    <t>8va Poniente Calz. 25 entre Primera Norte Barrio Emiliano Zapata Col. Emiliano Zapata</t>
  </si>
  <si>
    <t>Motozintla</t>
  </si>
  <si>
    <t>Yucatan-UMF Motul de Felipe Carrillo Puerto</t>
  </si>
  <si>
    <t>2544</t>
  </si>
  <si>
    <t>YNIST000042</t>
  </si>
  <si>
    <t>031-201-07</t>
  </si>
  <si>
    <t>031_201_07_UMF_Motul_de_Felipe_Carrillo_Puerto</t>
  </si>
  <si>
    <t>UMF Motul de Felipe Carrillo Puerto</t>
  </si>
  <si>
    <t>26 No 279 A entre 19 y 21 Col. Motul de Carrillo Puerto Centro</t>
  </si>
  <si>
    <t>Motul</t>
  </si>
  <si>
    <t>Yucatan-UMF Muna de Leopoldo Arana Cabrera</t>
  </si>
  <si>
    <t>2545</t>
  </si>
  <si>
    <t>YNIST000182</t>
  </si>
  <si>
    <t>031-201-08</t>
  </si>
  <si>
    <t>031_201_08_UMF_Muna_de_Leopoldo_Arana_Cabrera</t>
  </si>
  <si>
    <t>UMF Muna de Leopoldo Arana Cabrera</t>
  </si>
  <si>
    <t>42 A No. 199 Col. Fracc. Vista Alegre</t>
  </si>
  <si>
    <t>Muna</t>
  </si>
  <si>
    <t>Veracruz-UMF Naranjos</t>
  </si>
  <si>
    <t>2067</t>
  </si>
  <si>
    <t>VZIST000864</t>
  </si>
  <si>
    <t>030-208-09</t>
  </si>
  <si>
    <t>030_208_09_UMF_Naranjos</t>
  </si>
  <si>
    <t>UMF Naranjos</t>
  </si>
  <si>
    <t>Revolucion No. 13 Col. Tamaulipas</t>
  </si>
  <si>
    <t>Naranjos</t>
  </si>
  <si>
    <t>Sinaloa-UMF Navolato</t>
  </si>
  <si>
    <t>2283</t>
  </si>
  <si>
    <t>SLIST000271</t>
  </si>
  <si>
    <t>025-206-08</t>
  </si>
  <si>
    <t>025_206_08_UMF_Navolato</t>
  </si>
  <si>
    <t>UMF Navolato</t>
  </si>
  <si>
    <t>Jazmin SN Col. Nueva Esperanza</t>
  </si>
  <si>
    <t>Navolato</t>
  </si>
  <si>
    <t>Zacatecas-UMF Nochistlan</t>
  </si>
  <si>
    <t>3423</t>
  </si>
  <si>
    <t>ZSIST000353</t>
  </si>
  <si>
    <t>032-204-34</t>
  </si>
  <si>
    <t>032_204_34_UMF_Nochistlan</t>
  </si>
  <si>
    <t>UMF Nochistlan</t>
  </si>
  <si>
    <t>Moyahua No. 46 Col. Centro</t>
  </si>
  <si>
    <t>Nochistlan</t>
  </si>
  <si>
    <t>Durango-UMF Nombre de Dios</t>
  </si>
  <si>
    <t>2629</t>
  </si>
  <si>
    <t>DGIST000095</t>
  </si>
  <si>
    <t>010-207-08</t>
  </si>
  <si>
    <t>010_207_08_UMF_Nombre_de_Dios</t>
  </si>
  <si>
    <t>UMF Nombre de Dios</t>
  </si>
  <si>
    <t>C. Guardarraya SN, Zona Centro</t>
  </si>
  <si>
    <t>Nombre de Dios</t>
  </si>
  <si>
    <t>Michoacan-UMF Nueva Italia de Ruiz</t>
  </si>
  <si>
    <t>3159</t>
  </si>
  <si>
    <t>MNIST000132</t>
  </si>
  <si>
    <t>016-206-04</t>
  </si>
  <si>
    <t>016_206_04_UMF_Nueva_Italia_de_Ruiz</t>
  </si>
  <si>
    <t>UMF Nueva Italia de Ruiz</t>
  </si>
  <si>
    <t>Av. Lazaro Cardenas Nte. SN Col. Centro</t>
  </si>
  <si>
    <t>Nueva Italia de Ruiz</t>
  </si>
  <si>
    <t>Chihuahua-UMF Nuevo Casas Grandes</t>
  </si>
  <si>
    <t>2982</t>
  </si>
  <si>
    <t>CHIST000141</t>
  </si>
  <si>
    <t>008-211-05</t>
  </si>
  <si>
    <t>008_211_05_UMF_Nuevo_Casas_Grandes</t>
  </si>
  <si>
    <t>UMF Nuevo Casas Grandes</t>
  </si>
  <si>
    <t>Deltrado y 20 de Noviembre SN Col. Centro</t>
  </si>
  <si>
    <t>Nuevo Casas Grandes</t>
  </si>
  <si>
    <t>Durango-UMF Nuevo Ideal</t>
  </si>
  <si>
    <t>2630</t>
  </si>
  <si>
    <t>DGIST000194</t>
  </si>
  <si>
    <t>010-207-09</t>
  </si>
  <si>
    <t>010_207_09_UMF_Nuevo_Ideal</t>
  </si>
  <si>
    <t>UMF Nuevo Ideal</t>
  </si>
  <si>
    <t>C. Fco. I. Madero No. 804, Zona Centro</t>
  </si>
  <si>
    <t>Nuevo Ideal</t>
  </si>
  <si>
    <t>Tamaulipas-UMF Ocampo</t>
  </si>
  <si>
    <t>3380</t>
  </si>
  <si>
    <t>TSIST000293</t>
  </si>
  <si>
    <t>028-210-02</t>
  </si>
  <si>
    <t>028_210_02_UMF_Ocampo</t>
  </si>
  <si>
    <t>UMF Ocampo</t>
  </si>
  <si>
    <t>Emiliano Zapata SN entre Guerrero y Zaragoza Col. Centro</t>
  </si>
  <si>
    <t>Ocampo</t>
  </si>
  <si>
    <t>Sinaloa-UMF Ocoroni</t>
  </si>
  <si>
    <t>3302</t>
  </si>
  <si>
    <t>SLIST000266</t>
  </si>
  <si>
    <t>025-205-14</t>
  </si>
  <si>
    <t>025_205_14_UMF_Ocoroni</t>
  </si>
  <si>
    <t>UMF Ocoroni</t>
  </si>
  <si>
    <t>Domicilio Conocido a Espaldas de Tanque del Agua Potable Col. Ocoroni</t>
  </si>
  <si>
    <t>Genaro Estrada</t>
  </si>
  <si>
    <t>Chiapas-UMF Ocosingo</t>
  </si>
  <si>
    <t>4587</t>
  </si>
  <si>
    <t>CSIST000140</t>
  </si>
  <si>
    <t>007-206-01</t>
  </si>
  <si>
    <t>007_206_01_UMF_Ocosingo</t>
  </si>
  <si>
    <t>UMF Ocosingo</t>
  </si>
  <si>
    <t>Periferico Norte No. 2 Col. Barrio Santa Lucia</t>
  </si>
  <si>
    <t>Jalisco-UMF Ocotlan</t>
  </si>
  <si>
    <t>2682</t>
  </si>
  <si>
    <t>JCIST000564</t>
  </si>
  <si>
    <t>014-206-05</t>
  </si>
  <si>
    <t>014_206_05_UMF_Ocotlan</t>
  </si>
  <si>
    <t>UMF Ocotlan</t>
  </si>
  <si>
    <t>Flor de Jazmin No. 85 Col. Nuevo Porvenir</t>
  </si>
  <si>
    <t>Ocotlan</t>
  </si>
  <si>
    <t>Chiapas-UMF Ocozocoautla de Espinosa</t>
  </si>
  <si>
    <t>4614</t>
  </si>
  <si>
    <t>CSIST000152</t>
  </si>
  <si>
    <t>007-208-09</t>
  </si>
  <si>
    <t>007_208_09_UMF_Ocozocoautla_de_Espinosa</t>
  </si>
  <si>
    <t>UMF Ocozocoautla de Espinosa</t>
  </si>
  <si>
    <t>7A Norte y Carretera Panamericana 6/A, Col. Santa Cruz</t>
  </si>
  <si>
    <t>Ocozocoautla</t>
  </si>
  <si>
    <t>Chihuahua-UMF Ojinaga</t>
  </si>
  <si>
    <t>2983</t>
  </si>
  <si>
    <t>CHIST000153</t>
  </si>
  <si>
    <t>008-204-08</t>
  </si>
  <si>
    <t>008_204_08_UMF_Ojinaga</t>
  </si>
  <si>
    <t>UMF Ojinaga</t>
  </si>
  <si>
    <t>Gustavo Dominguez SN Col. Constitucion</t>
  </si>
  <si>
    <t>Ojinaga</t>
  </si>
  <si>
    <t>Zacatecas-UMF Ojocaliente</t>
  </si>
  <si>
    <t>2801</t>
  </si>
  <si>
    <t>ZSIST000102</t>
  </si>
  <si>
    <t>032-204-17</t>
  </si>
  <si>
    <t>032_204_17_UMF_Ojocaliente</t>
  </si>
  <si>
    <t>UMF Ojocaliente</t>
  </si>
  <si>
    <t>Blvd. Prudenciano No. 77 entre Lorenzo Cervantes y Elias Valadez Col. Pamanes Escobedo</t>
  </si>
  <si>
    <t>Ojocaliente</t>
  </si>
  <si>
    <t>Guerrero-UMF Olinala</t>
  </si>
  <si>
    <t>3081</t>
  </si>
  <si>
    <t>GRIST000182</t>
  </si>
  <si>
    <t>012-205-04</t>
  </si>
  <si>
    <t>012_205_04_UMF_Olinala</t>
  </si>
  <si>
    <t>UMF Olinala</t>
  </si>
  <si>
    <t>Olinca SN Col. Centro</t>
  </si>
  <si>
    <t>Olinala</t>
  </si>
  <si>
    <t>Yucatan-UMF Oxkutzcab</t>
  </si>
  <si>
    <t>2533</t>
  </si>
  <si>
    <t>YNIST000054</t>
  </si>
  <si>
    <t>031-201-09</t>
  </si>
  <si>
    <t>031_201_09_UMF_Oxkutzcab</t>
  </si>
  <si>
    <t>UMF Oxkutzcab</t>
  </si>
  <si>
    <t>36 No. 61 Col. Mrjorada Cp. 97 880 Col. Barrio Mejorada</t>
  </si>
  <si>
    <t>Oxkutzcab</t>
  </si>
  <si>
    <t>Aguascalientes-UMF Pabellon de Arteaga</t>
  </si>
  <si>
    <t>2567</t>
  </si>
  <si>
    <t>ASIST000033</t>
  </si>
  <si>
    <t>001-205-03</t>
  </si>
  <si>
    <t>001_205_03_UMF_Pabellon_de_Arteaga</t>
  </si>
  <si>
    <t>UMF Pabellon de Arteaga</t>
  </si>
  <si>
    <t>Av. Revolucion No. 703 Esq. Ing Pablo Hector Gonzalez Gonzalez Col. Fracc. Popular</t>
  </si>
  <si>
    <t>Pabellon de Arteaga</t>
  </si>
  <si>
    <t>Chiapas-UMF Palenque</t>
  </si>
  <si>
    <t>2940</t>
  </si>
  <si>
    <t>CSIST000164</t>
  </si>
  <si>
    <t>007-206-02</t>
  </si>
  <si>
    <t>007_206_02_UMF_Palenque</t>
  </si>
  <si>
    <t>UMF Palenque</t>
  </si>
  <si>
    <t>Av. Mario Morones y Reyes Heroles SN Col. Nanduime</t>
  </si>
  <si>
    <t>Veracruz-UMF Panuco</t>
  </si>
  <si>
    <t>3404</t>
  </si>
  <si>
    <t>VZIST000185</t>
  </si>
  <si>
    <t>030-208-11</t>
  </si>
  <si>
    <t>030_208_11_UMF_Panuco</t>
  </si>
  <si>
    <t>UMF Panuco</t>
  </si>
  <si>
    <t>Av. 18 de Marzo SN Esq. Blvd. Salvador Diaz Miron Col. Adolfo Lopez Mateos</t>
  </si>
  <si>
    <t>Panuco Veracruz</t>
  </si>
  <si>
    <t>Veracruz-UMF Papantla</t>
  </si>
  <si>
    <t>3409</t>
  </si>
  <si>
    <t>VZIST000190</t>
  </si>
  <si>
    <t>030-209-09</t>
  </si>
  <si>
    <t>030_209_09_UMF_Papantla</t>
  </si>
  <si>
    <t>UMF Papantla</t>
  </si>
  <si>
    <t>Prol. Sombrerete SN entre Xanath y Langa Papantla Col. Unidad y Trabajo</t>
  </si>
  <si>
    <t>Papantla de Olarte</t>
  </si>
  <si>
    <t>Michoacan-UMF Paracho de Verduzco</t>
  </si>
  <si>
    <t>3158</t>
  </si>
  <si>
    <t>MNIST000465</t>
  </si>
  <si>
    <t>016-205-08</t>
  </si>
  <si>
    <t>016_205_08_UMF_Paracho_de_Verduzco</t>
  </si>
  <si>
    <t>UMF Paracho de Verduzco</t>
  </si>
  <si>
    <t>Jose Ruben Romero No. 110 Col. Petamuti</t>
  </si>
  <si>
    <t>Paracho de Verduzco</t>
  </si>
  <si>
    <t>Tabasco-UMF Paraiso</t>
  </si>
  <si>
    <t>3352</t>
  </si>
  <si>
    <t>TCIST000145</t>
  </si>
  <si>
    <t>027-206-09</t>
  </si>
  <si>
    <t>027_206_09_UMF_Paraiso</t>
  </si>
  <si>
    <t>UMF Paraiso</t>
  </si>
  <si>
    <t>Lerdo Esq. Roman Magana SN Col. Paraiso</t>
  </si>
  <si>
    <t>Paraiso</t>
  </si>
  <si>
    <t>Coahuila-UMF Parras de la Fuente</t>
  </si>
  <si>
    <t>2990</t>
  </si>
  <si>
    <t>CLIST000082</t>
  </si>
  <si>
    <t>005-220-07</t>
  </si>
  <si>
    <t>005_220_07_UMF_Parras_de_la_Fuente</t>
  </si>
  <si>
    <t>UMF Parras de la Fuente</t>
  </si>
  <si>
    <t>Blvd. Oscar Flores Tapia SN Col. Estrella</t>
  </si>
  <si>
    <t>Parras de la Fuente</t>
  </si>
  <si>
    <t>Durango-UMF Paso Nacional</t>
  </si>
  <si>
    <t>2622</t>
  </si>
  <si>
    <t>DGIST000083</t>
  </si>
  <si>
    <t>010-206-07</t>
  </si>
  <si>
    <t>010_206_07_UMF_Paso_Nacional</t>
  </si>
  <si>
    <t>UMF Paso Nacional</t>
  </si>
  <si>
    <t>Av. Venustiano Carranza SN, Zona Centro</t>
  </si>
  <si>
    <t>Paso Nacional, Nazas</t>
  </si>
  <si>
    <t>Nayarit-UMF Penita de Jaltemba</t>
  </si>
  <si>
    <t>3186</t>
  </si>
  <si>
    <t>NTIST000045</t>
  </si>
  <si>
    <t>018-206-09</t>
  </si>
  <si>
    <t>018_206_09_UMF_Penita_de_Jaltemba</t>
  </si>
  <si>
    <t>UMF Penita de Jaltemba</t>
  </si>
  <si>
    <t>Varo Guaymas Esq. con Bahia de Cancun Col. Penita de Jaltemba</t>
  </si>
  <si>
    <t>Rincon de Guayabitos</t>
  </si>
  <si>
    <t>Guanajuato-UMF Penjamo</t>
  </si>
  <si>
    <t>3043</t>
  </si>
  <si>
    <t>GTIST000115</t>
  </si>
  <si>
    <t>011-204-04</t>
  </si>
  <si>
    <t>011_204_04_UMF_Penjamo</t>
  </si>
  <si>
    <t>UMF Penjamo</t>
  </si>
  <si>
    <t>Carr. Fed. Km. 5 Penjamo Abasolo SN Col. Penjamo</t>
  </si>
  <si>
    <t>Penjamo</t>
  </si>
  <si>
    <t>Sinaloa-UMF Pericos</t>
  </si>
  <si>
    <t>2056</t>
  </si>
  <si>
    <t>SLIST000365</t>
  </si>
  <si>
    <t>025-206-09</t>
  </si>
  <si>
    <t>025_206_09_UMF_Pericos</t>
  </si>
  <si>
    <t>UMF Pericos</t>
  </si>
  <si>
    <t>Benito Juarez SN Col. San Marcos</t>
  </si>
  <si>
    <t>Mocoritos</t>
  </si>
  <si>
    <t>Veracruz-UMF Perote</t>
  </si>
  <si>
    <t>3394</t>
  </si>
  <si>
    <t>VZIST000202</t>
  </si>
  <si>
    <t>030-204-02</t>
  </si>
  <si>
    <t>030_204_02_UMF_Perote</t>
  </si>
  <si>
    <t>UMF Perote</t>
  </si>
  <si>
    <t>Gral. Manuel Rincon SN Carr. Federal Col. Landa</t>
  </si>
  <si>
    <t>Perote</t>
  </si>
  <si>
    <t>Guerrero-UMF Petatlan</t>
  </si>
  <si>
    <t>3097</t>
  </si>
  <si>
    <t>GRIST000206</t>
  </si>
  <si>
    <t>012-208-12</t>
  </si>
  <si>
    <t>012_208_12_UMF_Petatlan</t>
  </si>
  <si>
    <t>UMF Petatlan</t>
  </si>
  <si>
    <t>Tamarino SN Col. Diaz Ordaz</t>
  </si>
  <si>
    <t>Petatlan</t>
  </si>
  <si>
    <t>Yucatan-UMF Peto</t>
  </si>
  <si>
    <t>2534</t>
  </si>
  <si>
    <t>YNIST000066</t>
  </si>
  <si>
    <t>031-201-10</t>
  </si>
  <si>
    <t>031_201_10_UMF_Peto</t>
  </si>
  <si>
    <t>UMF Peto</t>
  </si>
  <si>
    <t>45 192 entre 28 y 30 Col. Sarabia</t>
  </si>
  <si>
    <t>Peto</t>
  </si>
  <si>
    <t>Chiapas-UMF Pichucalco</t>
  </si>
  <si>
    <t>2942</t>
  </si>
  <si>
    <t>CSIST000176</t>
  </si>
  <si>
    <t>007-208-11</t>
  </si>
  <si>
    <t>007_208_11_UMF_Pichucalco</t>
  </si>
  <si>
    <t>UMF Pichucalco</t>
  </si>
  <si>
    <t>Ponciano Rojas SN Col. Fracc. Las Palmeras</t>
  </si>
  <si>
    <t>Pichucalco</t>
  </si>
  <si>
    <t>Zacatecas-UMF Pinos</t>
  </si>
  <si>
    <t>3422</t>
  </si>
  <si>
    <t>ZSIST000114</t>
  </si>
  <si>
    <t>032-204-18</t>
  </si>
  <si>
    <t>032_204_18_UMF_Pinos</t>
  </si>
  <si>
    <t>UMF Pinos</t>
  </si>
  <si>
    <t>Tlaxcala No. 12 Col. Pinos</t>
  </si>
  <si>
    <t>Centro</t>
  </si>
  <si>
    <t>Veracruz-UMF Playa Vicente</t>
  </si>
  <si>
    <t>3413</t>
  </si>
  <si>
    <t>VZIST000214</t>
  </si>
  <si>
    <t>030-213-05</t>
  </si>
  <si>
    <t>030_213_05_UMF_Playa_Vicente</t>
  </si>
  <si>
    <t>UMF Playa Vicente</t>
  </si>
  <si>
    <t>Ocampo Esq. Lopez Mateos Col. Chapultepec</t>
  </si>
  <si>
    <t>Playa Vicente</t>
  </si>
  <si>
    <t>Oaxaca-UMF Pochutla</t>
  </si>
  <si>
    <t>3203</t>
  </si>
  <si>
    <t>OCIST000206</t>
  </si>
  <si>
    <t>020-208-02</t>
  </si>
  <si>
    <t>020_208_02_UMF_Pochutla</t>
  </si>
  <si>
    <t>UMF Pochutla</t>
  </si>
  <si>
    <t>Calz. Juarez No. 91 Col. La Pasadita</t>
  </si>
  <si>
    <t>San Pedro Pochutla</t>
  </si>
  <si>
    <t>Estado de Mexico-UMF Polotitlan de Ilustracion</t>
  </si>
  <si>
    <t>3032</t>
  </si>
  <si>
    <t>MCIST000133</t>
  </si>
  <si>
    <t>015-213-08</t>
  </si>
  <si>
    <t>015_213_08_UMF_Polotitlan_de_Ilustracion</t>
  </si>
  <si>
    <t>UMF Polotitlan de Ilustracion</t>
  </si>
  <si>
    <t>Prolongacion Matamoros SN Col. Centro</t>
  </si>
  <si>
    <t>Cd Polotitlan de la Ilustracion</t>
  </si>
  <si>
    <t>Yucatan-UMF Progreso</t>
  </si>
  <si>
    <t>2537</t>
  </si>
  <si>
    <t>YNIST000071</t>
  </si>
  <si>
    <t>031-201-02</t>
  </si>
  <si>
    <t>031_201_02_UMF_Progreso</t>
  </si>
  <si>
    <t>UMF Progreso</t>
  </si>
  <si>
    <t>72 Numero177 Col. Fracisco I. Madero</t>
  </si>
  <si>
    <t>Progreso</t>
  </si>
  <si>
    <t>Sonora-UMF Puerto Penasco</t>
  </si>
  <si>
    <t>3319</t>
  </si>
  <si>
    <t>SRIST000186</t>
  </si>
  <si>
    <t>026-211-01</t>
  </si>
  <si>
    <t>026_211_01_UMF_Puerto_Penasco</t>
  </si>
  <si>
    <t>UMF Puerto Penasco</t>
  </si>
  <si>
    <t>Av. Constitucion y Prol. Kino SN Col. Centro</t>
  </si>
  <si>
    <t>Puerto Penasco</t>
  </si>
  <si>
    <t>Baja California Sur-UMF Puerto San Carlos</t>
  </si>
  <si>
    <t>2913</t>
  </si>
  <si>
    <t>BSIST000031</t>
  </si>
  <si>
    <t>003-205-03</t>
  </si>
  <si>
    <t>003_205_03_UMF_Puerto_San_Carlos</t>
  </si>
  <si>
    <t>UMF Puerto San Carlos</t>
  </si>
  <si>
    <t>Puerto Adolfo Lopez Mateos entre San Juanico y Puerto Cortez SN Col. Puerto San Carlos</t>
  </si>
  <si>
    <t>Michoacan-UMF Puruandiro</t>
  </si>
  <si>
    <t>3157</t>
  </si>
  <si>
    <t>MNIST000161</t>
  </si>
  <si>
    <t>016-214-03</t>
  </si>
  <si>
    <t>016_214_03_UMF_Puruandiro</t>
  </si>
  <si>
    <t>UMF Puruandiro</t>
  </si>
  <si>
    <t>Arquimedez No. 135 Col. Vista Bella</t>
  </si>
  <si>
    <t>Puruandiro</t>
  </si>
  <si>
    <t>Oaxaca-UMF Putla Villa de Guerrero</t>
  </si>
  <si>
    <t>3231</t>
  </si>
  <si>
    <t>OCIST000124</t>
  </si>
  <si>
    <t>020-207-08</t>
  </si>
  <si>
    <t>020_207_08_UMF_Putla_Villa_de_Guerrero</t>
  </si>
  <si>
    <t>UMF Putla Villa de Guerrero</t>
  </si>
  <si>
    <t>Antonio Velazco No. 15 Col. Barrio Cruz Grande</t>
  </si>
  <si>
    <t>Putla Villa de Guerrero</t>
  </si>
  <si>
    <t>Sinaloa-UMF Quila</t>
  </si>
  <si>
    <t>3309</t>
  </si>
  <si>
    <t>SLIST000336</t>
  </si>
  <si>
    <t>025-206-10</t>
  </si>
  <si>
    <t>025_206_10_UMF_Quila</t>
  </si>
  <si>
    <t>UMF Quila</t>
  </si>
  <si>
    <t>Terraceria El Rastro SN Col. Nogalitos</t>
  </si>
  <si>
    <t>Quila</t>
  </si>
  <si>
    <t>Aguascalientes-UMF Rincon de Romos</t>
  </si>
  <si>
    <t>2185</t>
  </si>
  <si>
    <t>ASIST000045</t>
  </si>
  <si>
    <t>001-205-04</t>
  </si>
  <si>
    <t>001_205_04_UMF_Rincon_de_Romos</t>
  </si>
  <si>
    <t>UMF Rincon de Romos</t>
  </si>
  <si>
    <t>U.H. Anaya Esq. Alvaro Obregon SN Col. Rincon de Romos Centro</t>
  </si>
  <si>
    <t>Rincon de Romos</t>
  </si>
  <si>
    <t>Oaxaca-UMF Rio Grande</t>
  </si>
  <si>
    <t>4535</t>
  </si>
  <si>
    <t>OCIST000474</t>
  </si>
  <si>
    <t>020-208-03</t>
  </si>
  <si>
    <t>020_208_03_UMF_Rio_Grande</t>
  </si>
  <si>
    <t>UMF Rio Grande</t>
  </si>
  <si>
    <t>Agua Marina Esq. Damante SN Col. Frac. La Perla Barrio de la Cruz</t>
  </si>
  <si>
    <t>Rio Grande</t>
  </si>
  <si>
    <t>Zacatecas-UMF Rio Grande</t>
  </si>
  <si>
    <t>2807</t>
  </si>
  <si>
    <t>ZSIST000126</t>
  </si>
  <si>
    <t>032-205-19</t>
  </si>
  <si>
    <t>032_205_19_UMF_Rio_Grande</t>
  </si>
  <si>
    <t>Insurgentes SN Col. Centro</t>
  </si>
  <si>
    <t>Durango-UMF Rodeo</t>
  </si>
  <si>
    <t>3029</t>
  </si>
  <si>
    <t>DGIST000136</t>
  </si>
  <si>
    <t>010-206-03</t>
  </si>
  <si>
    <t>010_206_03_UMF_Rodeo</t>
  </si>
  <si>
    <t>UMF Rodeo</t>
  </si>
  <si>
    <t>Av. Durango SN, Col. Industrial</t>
  </si>
  <si>
    <t>Rodeo</t>
  </si>
  <si>
    <t>Nayarit-UMF Rosamorada</t>
  </si>
  <si>
    <t>3178</t>
  </si>
  <si>
    <t>NTIST000086</t>
  </si>
  <si>
    <t>018-205-03</t>
  </si>
  <si>
    <t>018_205_03_UMF_Rosamorada</t>
  </si>
  <si>
    <t>UMF Rosamorada</t>
  </si>
  <si>
    <t>Sonora Esq. Con Hidalgo SN Col. Centro</t>
  </si>
  <si>
    <t>Nuevo Leon-UMF Sabinas Hidalgo</t>
  </si>
  <si>
    <t>3197</t>
  </si>
  <si>
    <t>NLIST000110</t>
  </si>
  <si>
    <t>019-204-19</t>
  </si>
  <si>
    <t>019_204_19_UMF_Sabinas_Hidalgo</t>
  </si>
  <si>
    <t>UMF Sabinas Hidalgo</t>
  </si>
  <si>
    <t>Iturbide No. 1000 Col. Barrio de Sonora</t>
  </si>
  <si>
    <t>Cd Sabinas Hidalgo</t>
  </si>
  <si>
    <t>Sonora-UMF Sahuaripa</t>
  </si>
  <si>
    <t>3323</t>
  </si>
  <si>
    <t>SRIST000191</t>
  </si>
  <si>
    <t>026-212-06</t>
  </si>
  <si>
    <t>026_212_06_UMF_Sahuaripa</t>
  </si>
  <si>
    <t>UMF Sahuaripa</t>
  </si>
  <si>
    <t>Pitaya SN Col. Talamantes</t>
  </si>
  <si>
    <t>Sahuaripa</t>
  </si>
  <si>
    <t>San Luis Potosi-UMF Salinas de Hidalgo</t>
  </si>
  <si>
    <t>2742</t>
  </si>
  <si>
    <t>SPIST000101</t>
  </si>
  <si>
    <t>024-206-05</t>
  </si>
  <si>
    <t>024_206_05_UMF_Salinas_de_Hidalgo</t>
  </si>
  <si>
    <t>UMF Salinas de Hidalgo</t>
  </si>
  <si>
    <t>Francisco Villa SN Col. Centro</t>
  </si>
  <si>
    <t>Salinas de Hidalgo</t>
  </si>
  <si>
    <t>Chiapas-UMF Salto de Agua</t>
  </si>
  <si>
    <t>2966</t>
  </si>
  <si>
    <t>CSIST000181</t>
  </si>
  <si>
    <t>007-206-04</t>
  </si>
  <si>
    <t>007_206_04_UMF_Salto_de_Agua</t>
  </si>
  <si>
    <t>UMF Salto de Agua</t>
  </si>
  <si>
    <t>Ferrocarril SN Col. Centro</t>
  </si>
  <si>
    <t>Salto de Agua</t>
  </si>
  <si>
    <t>Guanajuato-UMF Salvatierra</t>
  </si>
  <si>
    <t>3055</t>
  </si>
  <si>
    <t>GTIST000120</t>
  </si>
  <si>
    <t>011-207-10</t>
  </si>
  <si>
    <t>011_207_10_UMF_Salvatierra</t>
  </si>
  <si>
    <t>UMF Salvatierra</t>
  </si>
  <si>
    <t>Priv. Mina No. 108 Col. Zona Centro</t>
  </si>
  <si>
    <t>Salvatierra</t>
  </si>
  <si>
    <t>Sinaloa-UMF San Blas</t>
  </si>
  <si>
    <t>3300</t>
  </si>
  <si>
    <t>SLIST000155</t>
  </si>
  <si>
    <t>025-205-12</t>
  </si>
  <si>
    <t>025_205_12_UMF_San_Blas</t>
  </si>
  <si>
    <t>UMF San Blas</t>
  </si>
  <si>
    <t>Domicilio Conocido SN Benito Juarez Col. Centro</t>
  </si>
  <si>
    <t>San Blas</t>
  </si>
  <si>
    <t>Baja California-UMF San Felipe</t>
  </si>
  <si>
    <t>2893</t>
  </si>
  <si>
    <t>BCIST000064</t>
  </si>
  <si>
    <t>002-204-03</t>
  </si>
  <si>
    <t>002_204_03_UMF_San_Felipe</t>
  </si>
  <si>
    <t>UMF San Felipe</t>
  </si>
  <si>
    <t>Av. Mar Sur Caribe Carr. al Aeropuerto Col. San Felipe</t>
  </si>
  <si>
    <t>San Felipe</t>
  </si>
  <si>
    <t>Estado de Mexico-UMF San Felipe del Progreso</t>
  </si>
  <si>
    <t>2452</t>
  </si>
  <si>
    <t>MCIST000145</t>
  </si>
  <si>
    <t>015-213-09</t>
  </si>
  <si>
    <t>015_213_09_UMF_San_Felipe_del_Progreso</t>
  </si>
  <si>
    <t>UMF San Felipe del Progreso</t>
  </si>
  <si>
    <t>Gervacio Contreras Garza SN Camino Al Tunal Col. El Salto</t>
  </si>
  <si>
    <t>San Felipe del Progreso</t>
  </si>
  <si>
    <t>Guanajuato-UMF San Felipe Torres Mochas</t>
  </si>
  <si>
    <t>3049</t>
  </si>
  <si>
    <t>GTIST000132</t>
  </si>
  <si>
    <t>011-206-10</t>
  </si>
  <si>
    <t>011_206_10_UMF_San_Felipe_Torres_Mochas</t>
  </si>
  <si>
    <t>UMF San Felipe Torres Mochas</t>
  </si>
  <si>
    <t>Jalisco SN Esq. Michoacan Col. U. H. Fovissste</t>
  </si>
  <si>
    <t>Tamaulipas-UMF San Fernando</t>
  </si>
  <si>
    <t>3377</t>
  </si>
  <si>
    <t>TSIST000112</t>
  </si>
  <si>
    <t>028-207-03</t>
  </si>
  <si>
    <t>028_207_03_UMF_San_Fernando</t>
  </si>
  <si>
    <t>UMF San Fernando</t>
  </si>
  <si>
    <t>Allende y Margarita Masa de Juaraz SN Col. Bellavista Norte</t>
  </si>
  <si>
    <t>San Fernando</t>
  </si>
  <si>
    <t>Guanajuato-UMF San Francisco del Rincon</t>
  </si>
  <si>
    <t>2837</t>
  </si>
  <si>
    <t>GTIST000144</t>
  </si>
  <si>
    <t>011-204-10</t>
  </si>
  <si>
    <t>011_204_10_UMF_San_Francisco_del_Rincon</t>
  </si>
  <si>
    <t>UMF San Francisco del Rincon</t>
  </si>
  <si>
    <t>Tenochtitlan No. 600 Col. Fracc. San Francisco</t>
  </si>
  <si>
    <t>San Francisco del Rincon</t>
  </si>
  <si>
    <t>Oaxaca-UMF San Francisco Ixhuatan</t>
  </si>
  <si>
    <t>4558</t>
  </si>
  <si>
    <t>OCIST000141</t>
  </si>
  <si>
    <t>020-205-03</t>
  </si>
  <si>
    <t>020_205_03_UMF_San_Francisco_Ixhuatan</t>
  </si>
  <si>
    <t>UMF San Francisco Ixhuatan</t>
  </si>
  <si>
    <t>Independencia SN Col. Centro</t>
  </si>
  <si>
    <t>San Francisco Ixhuatan</t>
  </si>
  <si>
    <t>Sinaloa-UMF San Ignacio</t>
  </si>
  <si>
    <t>3293</t>
  </si>
  <si>
    <t>SLIST000242</t>
  </si>
  <si>
    <t>025-204-05</t>
  </si>
  <si>
    <t>025_204_05_UMF_San_Ignacio</t>
  </si>
  <si>
    <t>UMF San Ignacio</t>
  </si>
  <si>
    <t>Gabriel Leiva SN Col. Laveaga</t>
  </si>
  <si>
    <t>San Ignacio</t>
  </si>
  <si>
    <t>Estado de Mexico-UMF San Jeronimo Acazulco</t>
  </si>
  <si>
    <t>2441</t>
  </si>
  <si>
    <t>MCIST000121</t>
  </si>
  <si>
    <t>015-213-18</t>
  </si>
  <si>
    <t>015_213_18_UMF_San_Jeronimo_Acazulco</t>
  </si>
  <si>
    <t>UMF San Jeronimo Acazulco</t>
  </si>
  <si>
    <t>Insurgentes SN Col. San Jeronimo Acazulco</t>
  </si>
  <si>
    <t>Ocoyoacac</t>
  </si>
  <si>
    <t>Guanajuato-UMF San Jose Iturbide</t>
  </si>
  <si>
    <t>3048</t>
  </si>
  <si>
    <t>GTIST000156</t>
  </si>
  <si>
    <t>011-206-04</t>
  </si>
  <si>
    <t>011_206_04_UMF_San_Jose_Iturbide</t>
  </si>
  <si>
    <t>UMF San Jose Iturbide</t>
  </si>
  <si>
    <t>San Jose Iturbide</t>
  </si>
  <si>
    <t>Nayarit-UMF San Juan de Abajo</t>
  </si>
  <si>
    <t>3187</t>
  </si>
  <si>
    <t>NTIST000144</t>
  </si>
  <si>
    <t>018-206-10</t>
  </si>
  <si>
    <t>018_206_10_UMF_San_Juan_de_Abajo</t>
  </si>
  <si>
    <t>UMF San Juan de Abajo</t>
  </si>
  <si>
    <t>Ing. J Casas SN PB Col. Centro</t>
  </si>
  <si>
    <t>Bahia de Banderas</t>
  </si>
  <si>
    <t>Durango-UMF San Juan del Rio</t>
  </si>
  <si>
    <t>2631</t>
  </si>
  <si>
    <t>DGIST000141</t>
  </si>
  <si>
    <t>010-207-10</t>
  </si>
  <si>
    <t>010_207_10_UMF_San_Juan_del_Rio</t>
  </si>
  <si>
    <t>UMF San Juan del Rio</t>
  </si>
  <si>
    <t>C. Centauros del Norte SN, Fracc. Centauro</t>
  </si>
  <si>
    <t>Queretaro-UMF San Juan del Rio</t>
  </si>
  <si>
    <t>2728</t>
  </si>
  <si>
    <t>QTIST000080</t>
  </si>
  <si>
    <t>022-205-15</t>
  </si>
  <si>
    <t>022_205_15_UMF_San_Juan_del_Rio</t>
  </si>
  <si>
    <t>Pino Suarez No. 43 Esq. 5 de Mayo Col. Centro</t>
  </si>
  <si>
    <t>Puebla-UMF San Juan Ixcaquixtla</t>
  </si>
  <si>
    <t>3250</t>
  </si>
  <si>
    <t>PLIST000084</t>
  </si>
  <si>
    <t>021-214-06</t>
  </si>
  <si>
    <t>021_214_06_UMF_San_Juan_Ixcaquixtla</t>
  </si>
  <si>
    <t>UMF San Juan Ixcaquixtla</t>
  </si>
  <si>
    <t>2 Norte SN Barrio 3 de Mayo Col. Barrio 3 de Mayo</t>
  </si>
  <si>
    <t>San Juan Ixcaquixtla</t>
  </si>
  <si>
    <t>Estado de Mexico-UMF San Juan Teotihuacan</t>
  </si>
  <si>
    <t>2453</t>
  </si>
  <si>
    <t>MCIST000174</t>
  </si>
  <si>
    <t>015-205-01</t>
  </si>
  <si>
    <t>015_205_01_UMF_San_Juan_Teotihuacan</t>
  </si>
  <si>
    <t>UMF San Juan Teotihuacan</t>
  </si>
  <si>
    <t>Quetzalcoatl No. 4 Col. Evangelista</t>
  </si>
  <si>
    <t>Teotihuacan de Arista</t>
  </si>
  <si>
    <t>Oaxaca-UMF San Lucas Ojitlan</t>
  </si>
  <si>
    <t>3227</t>
  </si>
  <si>
    <t>OCIST000170</t>
  </si>
  <si>
    <t>020-206-04</t>
  </si>
  <si>
    <t>020_206_04_UMF_San_Lucas_Ojitlan</t>
  </si>
  <si>
    <t>UMF San Lucas Ojitlan</t>
  </si>
  <si>
    <t>San Lucas Ojitlan Oax. Miguel H. Sec. 2 Col. 2a. Seccion</t>
  </si>
  <si>
    <t>San Lucas Ojitlan</t>
  </si>
  <si>
    <t>Guerrero-UMF San Luis Acatlan</t>
  </si>
  <si>
    <t>3098</t>
  </si>
  <si>
    <t>GRIST000223</t>
  </si>
  <si>
    <t>012-208-14</t>
  </si>
  <si>
    <t>012_208_14_UMF_San_Luis_Acatlan</t>
  </si>
  <si>
    <t>UMF San Luis Acatlan</t>
  </si>
  <si>
    <t>Corregidora Esq. Justo Sierra SN Col. San Antonio</t>
  </si>
  <si>
    <t>San Luis Acatlan</t>
  </si>
  <si>
    <t>Guanajuato-UMF San Luis de la Paz</t>
  </si>
  <si>
    <t>3047</t>
  </si>
  <si>
    <t>GTIST000161</t>
  </si>
  <si>
    <t>011-206-03</t>
  </si>
  <si>
    <t>011_206_03_UMF_San_Luis_de_la_Paz</t>
  </si>
  <si>
    <t>UMF San Luis de la Paz</t>
  </si>
  <si>
    <t>Libramiento Sur No. 815 entre Cerro de Las Campas y Renovacion Col. Issste Magisterial</t>
  </si>
  <si>
    <t>San Luis de la Paz</t>
  </si>
  <si>
    <t>Guerrero-UMF San Marcos</t>
  </si>
  <si>
    <t>3099</t>
  </si>
  <si>
    <t>GRIST000235</t>
  </si>
  <si>
    <t>012-208-15</t>
  </si>
  <si>
    <t>012_208_15_UMF_San_Marcos</t>
  </si>
  <si>
    <t>UMF San Marcos</t>
  </si>
  <si>
    <t>Cda. Zaragoza SN Col. El Cantaro</t>
  </si>
  <si>
    <t>San Marcos</t>
  </si>
  <si>
    <t>Jalisco-UMF San Martin de Las Flores</t>
  </si>
  <si>
    <t>2054</t>
  </si>
  <si>
    <t>JCIST000750</t>
  </si>
  <si>
    <t>014-206-11</t>
  </si>
  <si>
    <t>014_206_11_UMF_San_Martin_de_Las_Flores</t>
  </si>
  <si>
    <t>UMF San Martin de Las Flores</t>
  </si>
  <si>
    <t>Matamoros 419 Col. San Martin de Las Flores</t>
  </si>
  <si>
    <t>Guanajuato-UMF San Miguel de Allende</t>
  </si>
  <si>
    <t>3034</t>
  </si>
  <si>
    <t>GTIST000033</t>
  </si>
  <si>
    <t>011-207-11</t>
  </si>
  <si>
    <t>011_207_11_UMF_San_Miguel_de_Allende</t>
  </si>
  <si>
    <t>UMF San Miguel de Allende</t>
  </si>
  <si>
    <t>Francisco Javier Delandeta No. 1 Col. Insurgentes</t>
  </si>
  <si>
    <t>San Miguel Allende</t>
  </si>
  <si>
    <t>Jalisco-UMF San Miguel El Alto</t>
  </si>
  <si>
    <t>2462</t>
  </si>
  <si>
    <t>JCIST000663</t>
  </si>
  <si>
    <t>014-207-05</t>
  </si>
  <si>
    <t>014_207_05_UMF_San_Miguel_El_Alto</t>
  </si>
  <si>
    <t>UMF San Miguel El Alto</t>
  </si>
  <si>
    <t>Roman Perez No. 2 Esq. Jesus Campos Hernandez Col. Fracc. Los Prados</t>
  </si>
  <si>
    <t>San Miguel El Alto</t>
  </si>
  <si>
    <t>Oaxaca-UMF San Pablo Huixtepec</t>
  </si>
  <si>
    <t>4534</t>
  </si>
  <si>
    <t>OCIST000450</t>
  </si>
  <si>
    <t>020-209-08</t>
  </si>
  <si>
    <t>020_209_08_UMF_San_Pablo_Huixtepec</t>
  </si>
  <si>
    <t>UMF San Pablo Huixtepec</t>
  </si>
  <si>
    <t>Villa Olimpica SN entre 2da Privada Olimpica Carr. Puerto Escondido Km. 30 Col. Av. de los Presidentes</t>
  </si>
  <si>
    <t>San Pablo Huixtepec</t>
  </si>
  <si>
    <t>Oaxaca-UMF San Pedro Tapanatepec</t>
  </si>
  <si>
    <t>3224</t>
  </si>
  <si>
    <t>OCIST000211</t>
  </si>
  <si>
    <t>020-205-02</t>
  </si>
  <si>
    <t>020_205_02_UMF_San_Pedro_Tapanatepec</t>
  </si>
  <si>
    <t>UMF San Pedro Tapanatepec</t>
  </si>
  <si>
    <t>Francisco Villa SN Col. Barrio Las Hormigas</t>
  </si>
  <si>
    <t>San Pedro Tapanatepec</t>
  </si>
  <si>
    <t>Baja California-UMF San Quintin</t>
  </si>
  <si>
    <t>2569</t>
  </si>
  <si>
    <t>BCIST000035</t>
  </si>
  <si>
    <t>002-206-03</t>
  </si>
  <si>
    <t>002_206_03_UMF_San_Quintin</t>
  </si>
  <si>
    <t>UMF San Quintin</t>
  </si>
  <si>
    <t>Novena No. 137 Col. Fracc. San Quintin</t>
  </si>
  <si>
    <t>Sonora-UMF Santa Ana</t>
  </si>
  <si>
    <t>3318</t>
  </si>
  <si>
    <t>SRIST000215</t>
  </si>
  <si>
    <t>026-215-03</t>
  </si>
  <si>
    <t>026_215_03_UMF_Santa_Ana</t>
  </si>
  <si>
    <t>UMF Santa Ana</t>
  </si>
  <si>
    <t>H. Colegio Militar SN entre Fresno Col. La Granja</t>
  </si>
  <si>
    <t>Santa Ana</t>
  </si>
  <si>
    <t>Durango-UMF Santa Maria del Oro</t>
  </si>
  <si>
    <t>2623</t>
  </si>
  <si>
    <t>DGIST000112</t>
  </si>
  <si>
    <t>010-206-10</t>
  </si>
  <si>
    <t>010_206_10_UMF_Santa_Maria_del_Oro</t>
  </si>
  <si>
    <t>UMF Santa Maria del Oro</t>
  </si>
  <si>
    <t>Av. Juarez SN, Zona Centro</t>
  </si>
  <si>
    <t>Santa Maria del Oro</t>
  </si>
  <si>
    <t>Oaxaca-UMF Santa Rosa de Lima</t>
  </si>
  <si>
    <t>4624</t>
  </si>
  <si>
    <t>OCIST000223</t>
  </si>
  <si>
    <t>020-208-04</t>
  </si>
  <si>
    <t>020_208_04_UMF_Santa_Rosa_de_Lima</t>
  </si>
  <si>
    <t>UMF Santa Rosa de Lima</t>
  </si>
  <si>
    <t>Cartera Costera del Pacífico SN Colonia Cantarrana</t>
  </si>
  <si>
    <t>Santa Rosa de Lima</t>
  </si>
  <si>
    <t>Nayarit-UMF Santiago Ixcuintla</t>
  </si>
  <si>
    <t>3188</t>
  </si>
  <si>
    <t>NTIST000091</t>
  </si>
  <si>
    <t>018-206-12</t>
  </si>
  <si>
    <t>018_206_12_UMF_Santiago_Ixcuintla</t>
  </si>
  <si>
    <t>UMF Santiago Ixcuintla</t>
  </si>
  <si>
    <t>Av. Mexico SN Col. Amado Nervo</t>
  </si>
  <si>
    <t>Santiago Ixcuintla</t>
  </si>
  <si>
    <t>Durango-UMF Santiago Papasquiaro</t>
  </si>
  <si>
    <t>2886</t>
  </si>
  <si>
    <t>DGIST000153</t>
  </si>
  <si>
    <t>010-207-12</t>
  </si>
  <si>
    <t>010_207_12_UMF_Santiago_Papasquiaro</t>
  </si>
  <si>
    <t>UMF Santiago Papasquiaro</t>
  </si>
  <si>
    <t>Calz. Jose Ramon Valdez SN, Col. Altamira</t>
  </si>
  <si>
    <t>Santiago Papasquiaro</t>
  </si>
  <si>
    <t>Estado de Mexico-UMF Santiago Tianguistengo</t>
  </si>
  <si>
    <t>2455</t>
  </si>
  <si>
    <t>MCIST000191</t>
  </si>
  <si>
    <t>015-213-10</t>
  </si>
  <si>
    <t>015_213_10_UMF_Santiago_Tianguistengo</t>
  </si>
  <si>
    <t>UMF Santiago Tianguistengo</t>
  </si>
  <si>
    <t>Gustavo Baz SN Col. Los Cipreses</t>
  </si>
  <si>
    <t>Santiago Tianguistenco de Galeana</t>
  </si>
  <si>
    <t>Veracruz-UMF Santiago Tuxtla</t>
  </si>
  <si>
    <t>3414</t>
  </si>
  <si>
    <t>VZIST000243</t>
  </si>
  <si>
    <t>030-213-06</t>
  </si>
  <si>
    <t>030_213_06_UMF_Santiago_Tuxtla</t>
  </si>
  <si>
    <t>UMF Santiago Tuxtla</t>
  </si>
  <si>
    <t>Parque Necastla No. 237 Col. Jardin</t>
  </si>
  <si>
    <t>Santiago Tuxtla</t>
  </si>
  <si>
    <t>Chihuahua-UMF Saucillo</t>
  </si>
  <si>
    <t>2589</t>
  </si>
  <si>
    <t>CHIST000165</t>
  </si>
  <si>
    <t>008-213-02</t>
  </si>
  <si>
    <t>008_213_02_UMF_Saucillo</t>
  </si>
  <si>
    <t>UMF Saucillo</t>
  </si>
  <si>
    <t>Guerreto y Av. 13Ava SN Col. Centro</t>
  </si>
  <si>
    <t>Saucillo</t>
  </si>
  <si>
    <t>Baja California Sur-UMF Sebastian Vizcaino</t>
  </si>
  <si>
    <t>2916</t>
  </si>
  <si>
    <t>BSIST000060</t>
  </si>
  <si>
    <t>003-206-07</t>
  </si>
  <si>
    <t>003_206_07_UMF_Sebastian_Vizcaino</t>
  </si>
  <si>
    <t>UMF Sebastian Vizcaino</t>
  </si>
  <si>
    <t>Av. 24 de Agosto y Benito Juarez SN Col. Centro</t>
  </si>
  <si>
    <t>Valle de Vizcaino</t>
  </si>
  <si>
    <t>Oaxaca-UMF Silacayoapam</t>
  </si>
  <si>
    <t>3229</t>
  </si>
  <si>
    <t>OCIST000264</t>
  </si>
  <si>
    <t>020-207-05</t>
  </si>
  <si>
    <t>020_207_05_UMF_Silacayoapam</t>
  </si>
  <si>
    <t>UMF Silacayoapam</t>
  </si>
  <si>
    <t>Valerio Trujano No. 3 Col. Centro</t>
  </si>
  <si>
    <t>Silacayoapam</t>
  </si>
  <si>
    <t>Guanajuato-UMF Silao</t>
  </si>
  <si>
    <t>3050</t>
  </si>
  <si>
    <t>GTIST000173</t>
  </si>
  <si>
    <t>011-206-11</t>
  </si>
  <si>
    <t>011_206_11_UMF_Silao</t>
  </si>
  <si>
    <t>UMF Silao</t>
  </si>
  <si>
    <t>Antiguo Camino a Pavileros SN Col. Progreso</t>
  </si>
  <si>
    <t>Silao</t>
  </si>
  <si>
    <t>Sinaloa-UMF Sinaloa de Leyva</t>
  </si>
  <si>
    <t>3301</t>
  </si>
  <si>
    <t>SLIST000254</t>
  </si>
  <si>
    <t>025-205-13</t>
  </si>
  <si>
    <t>025_205_13_UMF_Sinaloa_de_Leyva</t>
  </si>
  <si>
    <t>UMF Sinaloa de Leyva</t>
  </si>
  <si>
    <t>Dr. Vallejo Sn Atras del Panteon Col. Tierra Blanca</t>
  </si>
  <si>
    <t>San Luis Potosi-UMF Soledad de Graciano Sanchez</t>
  </si>
  <si>
    <t>2744</t>
  </si>
  <si>
    <t>SPIST000270</t>
  </si>
  <si>
    <t>024-206-09</t>
  </si>
  <si>
    <t>024_206_09_UMF_Soledad_de_Graciano_Sanchez</t>
  </si>
  <si>
    <t>UMF Soledad de Graciano Sanchez</t>
  </si>
  <si>
    <t>Valle de los Pinos Esq. Valle de Jalpa SN Col. Soledad de Graciano Sanchez</t>
  </si>
  <si>
    <t>Soledad de Graciano Sanchez</t>
  </si>
  <si>
    <t>Zacatecas-UMF Sombrerete</t>
  </si>
  <si>
    <t>2808</t>
  </si>
  <si>
    <t>ZSIST000131</t>
  </si>
  <si>
    <t>032-205-21</t>
  </si>
  <si>
    <t>032_205_21_UMF_Sombrerete</t>
  </si>
  <si>
    <t>UMF Sombrerete</t>
  </si>
  <si>
    <t>Mercurio y Magnesio SN Col. Centro</t>
  </si>
  <si>
    <t>Sombrerete</t>
  </si>
  <si>
    <t>Sonora-UMF Sonoyta</t>
  </si>
  <si>
    <t>3320</t>
  </si>
  <si>
    <t>SRIST000232</t>
  </si>
  <si>
    <t>026-211-02</t>
  </si>
  <si>
    <t>026_211_02_UMF_Sonoyta</t>
  </si>
  <si>
    <t>UMF Sonoyta</t>
  </si>
  <si>
    <t>Av. 16 de Septiembre No. 140 Col. Las Dunas Sonoyta</t>
  </si>
  <si>
    <t>Michoacan-UMF Tacambaro de Collados</t>
  </si>
  <si>
    <t>3163</t>
  </si>
  <si>
    <t>MNIST000190</t>
  </si>
  <si>
    <t>016-210-06</t>
  </si>
  <si>
    <t>016_210_06_UMF_Tacambaro_de_Collados</t>
  </si>
  <si>
    <t>UMF Tacambaro de Collados</t>
  </si>
  <si>
    <t>Pino Suarez 351 Col. Centro</t>
  </si>
  <si>
    <t>Tacambaro de Codallos</t>
  </si>
  <si>
    <t>Tabasco-UMF Tacotalpa</t>
  </si>
  <si>
    <t>3355</t>
  </si>
  <si>
    <t>TCIST000150</t>
  </si>
  <si>
    <t>027-206-15</t>
  </si>
  <si>
    <t>027_206_15_UMF_Tacotalpa</t>
  </si>
  <si>
    <t>UMF Tacotalpa</t>
  </si>
  <si>
    <t>Lerdo de Tejada Sn Col. Centro</t>
  </si>
  <si>
    <t>Tacotalpa</t>
  </si>
  <si>
    <t>Oaxaca-UMF Tamazulapam</t>
  </si>
  <si>
    <t>3230</t>
  </si>
  <si>
    <t>OCIST000276</t>
  </si>
  <si>
    <t>020-207-06</t>
  </si>
  <si>
    <t>020_207_06_UMF_Tamazulapam</t>
  </si>
  <si>
    <t>UMF Tamazulapam</t>
  </si>
  <si>
    <t>16 de Septiembre No. 51 Col. Barrio San Cipriano</t>
  </si>
  <si>
    <t>Tamazulapam del Progreso</t>
  </si>
  <si>
    <t>San Luis Potosi-UMF Tancanhuitz de Santos </t>
  </si>
  <si>
    <t>3281</t>
  </si>
  <si>
    <t>SPIST000043</t>
  </si>
  <si>
    <t>024-205-10</t>
  </si>
  <si>
    <t>024_205_10_UMF_Tancanhuitz_de_Santos </t>
  </si>
  <si>
    <t>UMF Tancanhuitz de Santos </t>
  </si>
  <si>
    <t>Lic. Carlos Jonguitud Barrios SN Col. Barrio Xochimilco</t>
  </si>
  <si>
    <t>Tancanhuitz de Santos</t>
  </si>
  <si>
    <t>San Luis Potosi-UMF Tanquian de Escobedo</t>
  </si>
  <si>
    <t>3279</t>
  </si>
  <si>
    <t>SPIST000154</t>
  </si>
  <si>
    <t>024-205-04</t>
  </si>
  <si>
    <t>024_205_04_UMF_Tanquian_de_Escobedo</t>
  </si>
  <si>
    <t>UMF Tanquian de Escobedo</t>
  </si>
  <si>
    <t>Mariano Escobedo SN Zona Centro San Mixotepic Col. Tanquian de Escobedo</t>
  </si>
  <si>
    <t>Tanquian de Escobedo</t>
  </si>
  <si>
    <t>Veracruz-UMF Tantoyuca</t>
  </si>
  <si>
    <t>3400</t>
  </si>
  <si>
    <t>VZIST000255</t>
  </si>
  <si>
    <t>030-208-03</t>
  </si>
  <si>
    <t>030_208_03_UMF_Tantoyuca</t>
  </si>
  <si>
    <t>UMF Tantoyuca</t>
  </si>
  <si>
    <t>Clavijero Esq. Av. Principal SN Col. Ruiz Cortines</t>
  </si>
  <si>
    <t>Tantoyuca</t>
  </si>
  <si>
    <t>Hidalgo-UMF Tasquillo</t>
  </si>
  <si>
    <t>3128</t>
  </si>
  <si>
    <t>HGIST000275</t>
  </si>
  <si>
    <t>013-205-08</t>
  </si>
  <si>
    <t>013_205_08_UMF_Tasquillo</t>
  </si>
  <si>
    <t>UMF Tasquillo</t>
  </si>
  <si>
    <t>Av. De los Fresnos SN PB Col. Centro</t>
  </si>
  <si>
    <t>Tasquillo</t>
  </si>
  <si>
    <t>Guerrero-UMF Taxco de Alarcon</t>
  </si>
  <si>
    <t>3091</t>
  </si>
  <si>
    <t>GRIST000252</t>
  </si>
  <si>
    <t>012-206-13</t>
  </si>
  <si>
    <t>012_206_13_UMF_Taxco_de_Alarcon</t>
  </si>
  <si>
    <t>UMF Taxco de Alarcon</t>
  </si>
  <si>
    <t>Av. de Los Plateros No. 134 Col. Garita</t>
  </si>
  <si>
    <t>Taxco de Alarcon</t>
  </si>
  <si>
    <t>Tabasco-UMF Teapa</t>
  </si>
  <si>
    <t>3353</t>
  </si>
  <si>
    <t>TCIST000162</t>
  </si>
  <si>
    <t>027-206-10</t>
  </si>
  <si>
    <t>027_206_10_UMF_Teapa</t>
  </si>
  <si>
    <t>UMF Teapa</t>
  </si>
  <si>
    <t>La Rio Tiapa N 209 Col. Teapa Centro</t>
  </si>
  <si>
    <t>Teapa</t>
  </si>
  <si>
    <t>Puebla-UMF Tecamachalco</t>
  </si>
  <si>
    <t>3251</t>
  </si>
  <si>
    <t>PLIST000142</t>
  </si>
  <si>
    <t>021-214-07</t>
  </si>
  <si>
    <t>021_214_07_UMF_Tecamachalco</t>
  </si>
  <si>
    <t>UMF Tecamachalco</t>
  </si>
  <si>
    <t>Priv. de la 7 Sur y 11 Poniente SN Col. Barrio de San Antonio</t>
  </si>
  <si>
    <t>Tecamachalco</t>
  </si>
  <si>
    <t>Baja California-UMF Tecate</t>
  </si>
  <si>
    <t>2320</t>
  </si>
  <si>
    <t>BCIST000081</t>
  </si>
  <si>
    <t>002-209-02</t>
  </si>
  <si>
    <t>002_209_02_UMF_Tecate</t>
  </si>
  <si>
    <t>UMF Tecate</t>
  </si>
  <si>
    <t>Esq. Mision de Sta. Rosalia SN Col. Fracc. El Descanso</t>
  </si>
  <si>
    <t>Tecate</t>
  </si>
  <si>
    <t>Yucatan-UMF Tecax de Alvaro Obregon</t>
  </si>
  <si>
    <t>2778</t>
  </si>
  <si>
    <t>YNIST000083</t>
  </si>
  <si>
    <t>031-201-11</t>
  </si>
  <si>
    <t>031_201_11_UMF_Tecax_de_Alvaro_Obregon</t>
  </si>
  <si>
    <t>UMF Tecax de Alvaro Obregon</t>
  </si>
  <si>
    <t>48 No. 204 Por 51 y 53 Col. Centro</t>
  </si>
  <si>
    <t>Tekax</t>
  </si>
  <si>
    <t>Guerrero-UMF Tecoanapa</t>
  </si>
  <si>
    <t>2008</t>
  </si>
  <si>
    <t>GRIST000474</t>
  </si>
  <si>
    <t>012-208-16</t>
  </si>
  <si>
    <t>012_208_16_UMF_Tecoanapa</t>
  </si>
  <si>
    <t>UMF Tecoanapa</t>
  </si>
  <si>
    <t>Primero de Mayo Esq. Av. Justo Sierra Col. Predio de Teconco</t>
  </si>
  <si>
    <t>Jalisco-UMF Tecolotlan</t>
  </si>
  <si>
    <t>2678</t>
  </si>
  <si>
    <t>JCIST000091</t>
  </si>
  <si>
    <t>014-205-02</t>
  </si>
  <si>
    <t>014_205_02_UMF_Tecolotlan</t>
  </si>
  <si>
    <t>UMF Tecolotlan</t>
  </si>
  <si>
    <t>Ramon Corona No. 28 Col. Centro</t>
  </si>
  <si>
    <t>Tecolotlan</t>
  </si>
  <si>
    <t>Colima-UMF Tecoman</t>
  </si>
  <si>
    <t>2601</t>
  </si>
  <si>
    <t>CMIST000034</t>
  </si>
  <si>
    <t>006-204-03</t>
  </si>
  <si>
    <t>006_204_03_UMF_Tecoman</t>
  </si>
  <si>
    <t>UMF Tecoman</t>
  </si>
  <si>
    <t>Antonio Barbosa SN Col. Estatuto Juridico</t>
  </si>
  <si>
    <t>Tecoman</t>
  </si>
  <si>
    <t>Hidalgo-UMF Tecozautla</t>
  </si>
  <si>
    <t>3122</t>
  </si>
  <si>
    <t>HGIST000280</t>
  </si>
  <si>
    <t>013-205-09</t>
  </si>
  <si>
    <t>013_205_09_UMF_Tecozautla</t>
  </si>
  <si>
    <t>UMF Tecozautla</t>
  </si>
  <si>
    <t>Av. 20 de Noviembre Esq. Camino a San Miguel Col. Tecozautla</t>
  </si>
  <si>
    <t>Tecozautla</t>
  </si>
  <si>
    <t>Nayarit-UMF Tecuala</t>
  </si>
  <si>
    <t>3179</t>
  </si>
  <si>
    <t>NTIST000115</t>
  </si>
  <si>
    <t>018-205-05</t>
  </si>
  <si>
    <t>018_205_05_UMF_Tecuala</t>
  </si>
  <si>
    <t>UMF Tecuala</t>
  </si>
  <si>
    <t>Durango SN Col. Centro</t>
  </si>
  <si>
    <t>Tecuala</t>
  </si>
  <si>
    <t>Estado de Mexico-UMF Tejupilco de Hidalgo</t>
  </si>
  <si>
    <t>4597</t>
  </si>
  <si>
    <t>MCIST000150</t>
  </si>
  <si>
    <t>015-213-12</t>
  </si>
  <si>
    <t>015_213_12_UMF_Tejupilco_de_Hidalgo</t>
  </si>
  <si>
    <t>UMF Tejupilco de Hidalgo</t>
  </si>
  <si>
    <t>Prolongacion Juarez No. 141 Col. Mexico 68</t>
  </si>
  <si>
    <t>Tejupilco</t>
  </si>
  <si>
    <t>Oaxaca-UMF Telixtlahuaca</t>
  </si>
  <si>
    <t>2039</t>
  </si>
  <si>
    <t>OCIST000153</t>
  </si>
  <si>
    <t>020-209-11</t>
  </si>
  <si>
    <t>020_209_11_UMF_Telixtlahuaca</t>
  </si>
  <si>
    <t>UMF Telixtlahuaca</t>
  </si>
  <si>
    <t>Galena No. 3 Col. Centro</t>
  </si>
  <si>
    <t>Telixtlahuaca</t>
  </si>
  <si>
    <t>Guerrero-UMF Teloloapan</t>
  </si>
  <si>
    <t>3089</t>
  </si>
  <si>
    <t>GRIST000276</t>
  </si>
  <si>
    <t>012-206-09</t>
  </si>
  <si>
    <t>012_206_09_UMF_Teloloapan</t>
  </si>
  <si>
    <t>UMF Teloloapan</t>
  </si>
  <si>
    <t>Av. Excampo de Aviacion SN Col. El Tanque Alto</t>
  </si>
  <si>
    <t>Teloloapan</t>
  </si>
  <si>
    <t>Oaxaca-UMF Temascal</t>
  </si>
  <si>
    <t>3228</t>
  </si>
  <si>
    <t>OCIST000182</t>
  </si>
  <si>
    <t>020-206-05</t>
  </si>
  <si>
    <t>020_206_05_UMF_Temascal</t>
  </si>
  <si>
    <t>UMF Temascal</t>
  </si>
  <si>
    <t>8 No. 256 Col. Centro</t>
  </si>
  <si>
    <t>Soyaltepec</t>
  </si>
  <si>
    <t>Morelos-UMF Temixco</t>
  </si>
  <si>
    <t>2701</t>
  </si>
  <si>
    <t>MSIST000083</t>
  </si>
  <si>
    <t>017-206-08</t>
  </si>
  <si>
    <t>017_206_08_UMF_Temixco</t>
  </si>
  <si>
    <t>UMF Temixco</t>
  </si>
  <si>
    <t>Grito de Dolores SN Col. Ruben Jaramillo</t>
  </si>
  <si>
    <t>Temixco</t>
  </si>
  <si>
    <t>Estado de Mexico-UMF Tenancingo de Degollado</t>
  </si>
  <si>
    <t>2640</t>
  </si>
  <si>
    <t>MCIST000162</t>
  </si>
  <si>
    <t>015-213-06</t>
  </si>
  <si>
    <t>015_213_06_UMF_Tenancingo_de_Degollado</t>
  </si>
  <si>
    <t>UMF Tenancingo de Degollado</t>
  </si>
  <si>
    <t>Calle D SN Entre Pablo Casanova e Insurgentes Col. San Isidro</t>
  </si>
  <si>
    <t>Tenancingo de Degollado</t>
  </si>
  <si>
    <t>Tabasco-UMF Tenosique de Pino Suarez</t>
  </si>
  <si>
    <t>3337</t>
  </si>
  <si>
    <t>TCIST000174</t>
  </si>
  <si>
    <t>027-206-11</t>
  </si>
  <si>
    <t>027_206_11_UMF_Tenosique_de_Pino_Suarez</t>
  </si>
  <si>
    <t>UMF Tenosique de Pino Suarez</t>
  </si>
  <si>
    <t>50 Col. Magisterial</t>
  </si>
  <si>
    <t>Temosique</t>
  </si>
  <si>
    <t>Jalisco-UMF Teocaltiche</t>
  </si>
  <si>
    <t>2684</t>
  </si>
  <si>
    <t>JCIST000103</t>
  </si>
  <si>
    <t>014-207-06</t>
  </si>
  <si>
    <t>014_207_06_UMF_Teocaltiche</t>
  </si>
  <si>
    <t>UMF Teocaltiche</t>
  </si>
  <si>
    <t>Jazmin 24 entre Ninos Heroes Col. Maravillas</t>
  </si>
  <si>
    <t>Teocaltiche</t>
  </si>
  <si>
    <t>Oaxaca-UMF Teotitlan de Flores Magon</t>
  </si>
  <si>
    <t>4617</t>
  </si>
  <si>
    <t>OCIST000281</t>
  </si>
  <si>
    <t>020-209-10</t>
  </si>
  <si>
    <t>020_209_10_UMF_Teotitlan_de_Flores_Magon</t>
  </si>
  <si>
    <t>UMF Teotitlan de Flores Magon</t>
  </si>
  <si>
    <t>Francisco F. Trujillo SN Entre Juan Alvarez e Indepencencia Col. Centro Municipio Teotitlan De Flores Magon</t>
  </si>
  <si>
    <t>Teotitlan de Flores Magon</t>
  </si>
  <si>
    <t>Hidalgo-UMF Tepatepec</t>
  </si>
  <si>
    <t>4603</t>
  </si>
  <si>
    <t>HGIST000036</t>
  </si>
  <si>
    <t>013-208-01</t>
  </si>
  <si>
    <t>013_208_01_UMF_Tepatepec</t>
  </si>
  <si>
    <t>UMF Tepatepec</t>
  </si>
  <si>
    <t>Alamo SN Col. Centro Primera Demarcacion</t>
  </si>
  <si>
    <t>Tepatepec</t>
  </si>
  <si>
    <t>Jalisco-UMF Tepatitlan de Morelos</t>
  </si>
  <si>
    <t>2683</t>
  </si>
  <si>
    <t>JCIST000115</t>
  </si>
  <si>
    <t>014-206-08</t>
  </si>
  <si>
    <t>014_206_08_UMF_Tepatitlan_de_Morelos</t>
  </si>
  <si>
    <t>UMF Tepatitlan de Morelos</t>
  </si>
  <si>
    <t>Manuel Altamirano Esq. Con Ayuntamiento 398 Col. Tepatitlan de Morelos</t>
  </si>
  <si>
    <t>Tepatitlan de Morelos</t>
  </si>
  <si>
    <t>Puebla-UMF Tepeaca</t>
  </si>
  <si>
    <t>3252</t>
  </si>
  <si>
    <t>PLIST000166</t>
  </si>
  <si>
    <t>021-214-08</t>
  </si>
  <si>
    <t>021_214_08_UMF_Tepeaca</t>
  </si>
  <si>
    <t>UMF Tepeaca</t>
  </si>
  <si>
    <t>8 Poniente No. 113 entre 6 Pte. y 10 Pte. Col. Centro</t>
  </si>
  <si>
    <t>Tepeaca</t>
  </si>
  <si>
    <t>Hidalgo-UMF Tepeapulco</t>
  </si>
  <si>
    <t>2034</t>
  </si>
  <si>
    <t>HGIST000304</t>
  </si>
  <si>
    <t>013-210-06</t>
  </si>
  <si>
    <t>013_210_06_UMF_Tepeapulco</t>
  </si>
  <si>
    <t>UMF Tepeapulco</t>
  </si>
  <si>
    <t>Ignacio Allende No. 10 Col. Centro</t>
  </si>
  <si>
    <t>Ciudad Sahagun</t>
  </si>
  <si>
    <t>Durango-UMF Tepehuanes</t>
  </si>
  <si>
    <t>2632</t>
  </si>
  <si>
    <t>DGIST000165</t>
  </si>
  <si>
    <t>010-207-16</t>
  </si>
  <si>
    <t>010_207_16_UMF_Tepehuanes</t>
  </si>
  <si>
    <t>UMF Tepehuanes</t>
  </si>
  <si>
    <t>Callejon del Rio SN, Zona Centro</t>
  </si>
  <si>
    <t>Tepehuanes</t>
  </si>
  <si>
    <t>Hidalgo-UMF Tepeji del Rio</t>
  </si>
  <si>
    <t>3108</t>
  </si>
  <si>
    <t>HGIST000111</t>
  </si>
  <si>
    <t>013-208-02</t>
  </si>
  <si>
    <t>013_208_02_UMF_Tepeji_del_Rio</t>
  </si>
  <si>
    <t>UMF Tepeji del Rio</t>
  </si>
  <si>
    <t>Cerrada de Ignacio Ramirez Col. San Francisco</t>
  </si>
  <si>
    <t>Tepeji del Rio</t>
  </si>
  <si>
    <t>Estado de Mexico-UMF Tepexpan</t>
  </si>
  <si>
    <t>2445</t>
  </si>
  <si>
    <t>MCIST000010</t>
  </si>
  <si>
    <t>015-205-03</t>
  </si>
  <si>
    <t>015_205_03_UMF_Tepexpan</t>
  </si>
  <si>
    <t>UMF Tepexpan</t>
  </si>
  <si>
    <t>Artesanos SN Entre 5 de Mayo y 1A. Cerrada Col. Centro</t>
  </si>
  <si>
    <t>Tepexpan</t>
  </si>
  <si>
    <t>Queretaro-UMF Tequisquiapan</t>
  </si>
  <si>
    <t>2726</t>
  </si>
  <si>
    <t>QTIST000150</t>
  </si>
  <si>
    <t>022-205-13</t>
  </si>
  <si>
    <t>022_205_13_UMF_Tequisquiapan</t>
  </si>
  <si>
    <t>UMF Tequisquiapan</t>
  </si>
  <si>
    <t>Emiliano Zapata No. 68 Col. Ampliacion Adolfo Lopez Mateos</t>
  </si>
  <si>
    <t>Tequisquiapan</t>
  </si>
  <si>
    <t>Morelos-UMF Tetecala</t>
  </si>
  <si>
    <t>2703</t>
  </si>
  <si>
    <t>MSIST000095</t>
  </si>
  <si>
    <t>017-206-10</t>
  </si>
  <si>
    <t>017_206_10_UMF_Tetecala</t>
  </si>
  <si>
    <t>UMF Tetecala</t>
  </si>
  <si>
    <t>Francisco I Madero T 4 Col. Centro</t>
  </si>
  <si>
    <t>Tetecala</t>
  </si>
  <si>
    <t>Hidalgo-UMF Tezontepec de Aldama</t>
  </si>
  <si>
    <t>4515</t>
  </si>
  <si>
    <t>HGIST000316</t>
  </si>
  <si>
    <t>013-208-03</t>
  </si>
  <si>
    <t>013_208_03_UMF_Tezontepec_de_Aldama</t>
  </si>
  <si>
    <t>UMF Tezontepec de Aldama</t>
  </si>
  <si>
    <t>Manantiales No. 4 Col. Centro</t>
  </si>
  <si>
    <t>Tezontepec de Aldama</t>
  </si>
  <si>
    <t>Yucatan-UMF Ticul</t>
  </si>
  <si>
    <t>2540</t>
  </si>
  <si>
    <t>YNIST000095</t>
  </si>
  <si>
    <t>031-201-12</t>
  </si>
  <si>
    <t>031_201_12_UMF_Ticul</t>
  </si>
  <si>
    <t>UMF Ticul</t>
  </si>
  <si>
    <t>24 SN Por 19 y Antg. Carr. Sacalum Col. Guadalupe</t>
  </si>
  <si>
    <t>Ticul</t>
  </si>
  <si>
    <t>Veracruz-UMF Tierra Blanca</t>
  </si>
  <si>
    <t>3398</t>
  </si>
  <si>
    <t>VZIST000272</t>
  </si>
  <si>
    <t>030-206-05</t>
  </si>
  <si>
    <t>030_206_05_UMF_Tierra_Blanca</t>
  </si>
  <si>
    <t>UMF Tierra Blanca</t>
  </si>
  <si>
    <t>Melchor Ocampo SN entre Gomez Farias y Leona Vicario Col. Tierra Blanca Viejo</t>
  </si>
  <si>
    <t>Guerrero-UMF Tierra Colorada</t>
  </si>
  <si>
    <t>3082</t>
  </si>
  <si>
    <t>GRIST000170</t>
  </si>
  <si>
    <t>012-205-05</t>
  </si>
  <si>
    <t>012_205_05_UMF_Tierra_Colorada</t>
  </si>
  <si>
    <t>UMF Tierra Colorada</t>
  </si>
  <si>
    <t>Carr. Nacional SN Col. Tierra Colorada</t>
  </si>
  <si>
    <t>Tierra Colorada</t>
  </si>
  <si>
    <t>Guerrero-UMF Tixtla de Guerrero</t>
  </si>
  <si>
    <t>3083</t>
  </si>
  <si>
    <t>GRIST000281</t>
  </si>
  <si>
    <t>012-205-06</t>
  </si>
  <si>
    <t>012_205_06_UMF_Tixtla_de_Guerrero</t>
  </si>
  <si>
    <t>UMF Tixtla de Guerrero</t>
  </si>
  <si>
    <t>Av. Insurgentes SN Col. Barrio del Santuario</t>
  </si>
  <si>
    <t>Tixtla</t>
  </si>
  <si>
    <t>Hidalgo-UMF Tizayuca</t>
  </si>
  <si>
    <t>3107</t>
  </si>
  <si>
    <t>HGIST000123</t>
  </si>
  <si>
    <t>013-210-07</t>
  </si>
  <si>
    <t>013_210_07_UMF_Tizayuca</t>
  </si>
  <si>
    <t>UMF Tizayuca</t>
  </si>
  <si>
    <t>Francisco I. Madero SN Col. Atempa</t>
  </si>
  <si>
    <t>Tizayuca</t>
  </si>
  <si>
    <t>Yucatan-UMF Tizimin</t>
  </si>
  <si>
    <t>2543</t>
  </si>
  <si>
    <t>YNIST000165</t>
  </si>
  <si>
    <t>031-201-13</t>
  </si>
  <si>
    <t>031_201_13_UMF_Tizimin</t>
  </si>
  <si>
    <t>UMF Tizimin</t>
  </si>
  <si>
    <t>48 B No. 353 Col. Ocho Calles</t>
  </si>
  <si>
    <t>Tizimin</t>
  </si>
  <si>
    <t>Durango-UMF Tlahualilo de Zaragoza</t>
  </si>
  <si>
    <t>2624</t>
  </si>
  <si>
    <t>DGIST000170</t>
  </si>
  <si>
    <t>010-206-11</t>
  </si>
  <si>
    <t>010_206_11_UMF_Tlahualilo_de_Zaragoza</t>
  </si>
  <si>
    <t>UMF Tlahualilo de Zaragoza</t>
  </si>
  <si>
    <t>Av. Aguascaliente No. 6, Col. Zaragoza</t>
  </si>
  <si>
    <t>Tlahualilo de Zaragoza</t>
  </si>
  <si>
    <t>Zacatecas-UMF Tlaltenango de Sanchez Roman</t>
  </si>
  <si>
    <t>2802</t>
  </si>
  <si>
    <t>ZSIST000143</t>
  </si>
  <si>
    <t>032-204-24</t>
  </si>
  <si>
    <t>032_204_24_UMF_Tlaltenango_de_Sanchez_Roman</t>
  </si>
  <si>
    <t>UMF Tlaltenango de Sanchez Roman</t>
  </si>
  <si>
    <t>Ninos Heroes No. 8 Col. Centro</t>
  </si>
  <si>
    <t>Tlaltenango de Sanchez Roman</t>
  </si>
  <si>
    <t>Hidalgo-UMF Tlanchinol</t>
  </si>
  <si>
    <t>HGIST000321</t>
  </si>
  <si>
    <t>013-207-03</t>
  </si>
  <si>
    <t>013_207_03_UMF_Tlanchinol</t>
  </si>
  <si>
    <t>UMF Tlanchinol</t>
  </si>
  <si>
    <t>Av. Mexico Tampico Col. Vista Hermosa</t>
  </si>
  <si>
    <t>Tlanchinol Hidalgo</t>
  </si>
  <si>
    <t>Veracruz-UMF Tlapacoyan</t>
  </si>
  <si>
    <t>3417</t>
  </si>
  <si>
    <t>VZIST000284</t>
  </si>
  <si>
    <t>030-216-05</t>
  </si>
  <si>
    <t>030_216_05_UMF_Tlapacoyan</t>
  </si>
  <si>
    <t>UMF Tlapacoyan</t>
  </si>
  <si>
    <t>Los Pocitos SN Col. Centro</t>
  </si>
  <si>
    <t>Tlapacoyan</t>
  </si>
  <si>
    <t>Guerrero-UMF Tlapehuala</t>
  </si>
  <si>
    <t>4512</t>
  </si>
  <si>
    <t>GRIST000305</t>
  </si>
  <si>
    <t>012-206-10</t>
  </si>
  <si>
    <t>012_206_10_UMF_Tlapehuala</t>
  </si>
  <si>
    <t>UMF Tlapehuala</t>
  </si>
  <si>
    <t>Av. Leyva Mancilla Col. Magisterial</t>
  </si>
  <si>
    <t>Tlapehuala</t>
  </si>
  <si>
    <t>Morelos-UMF Tlaquiltenango</t>
  </si>
  <si>
    <t>4608</t>
  </si>
  <si>
    <t>MSIST000100</t>
  </si>
  <si>
    <t>017-208-02</t>
  </si>
  <si>
    <t>017_208_02_UMF_Tlaquiltenango</t>
  </si>
  <si>
    <t>UMF Tlaquiltenango</t>
  </si>
  <si>
    <t>Av. 20 de Noviembre Esq. Nicolas Bravo Col. Gabriel Tepeapa</t>
  </si>
  <si>
    <t>Tlaquiltenango</t>
  </si>
  <si>
    <t>Puebla-UMF Tlatlauquitepec</t>
  </si>
  <si>
    <t>3249</t>
  </si>
  <si>
    <t>PLIST000183</t>
  </si>
  <si>
    <t>021-210-04</t>
  </si>
  <si>
    <t>021_210_04_UMF_Tlatlauquitepec</t>
  </si>
  <si>
    <t>UMF Tlatlauquitepec</t>
  </si>
  <si>
    <t>Av. Independencia No. 6 Col. Centro</t>
  </si>
  <si>
    <t>Tlatlahutepec</t>
  </si>
  <si>
    <t>Hidalgo-UMF Tlaxcoapan</t>
  </si>
  <si>
    <t>3126</t>
  </si>
  <si>
    <t>HGIST000333</t>
  </si>
  <si>
    <t>013-208-04</t>
  </si>
  <si>
    <t>013_208_04_UMF_Tlaxcoapan</t>
  </si>
  <si>
    <t>UMF Tlaxcoapan</t>
  </si>
  <si>
    <t>Franciso I. Madero SN Col. Ciudadela</t>
  </si>
  <si>
    <t>Tlaxcoapan</t>
  </si>
  <si>
    <t>Baja California Sur-UMF Todos Santos</t>
  </si>
  <si>
    <t>2912</t>
  </si>
  <si>
    <t>BSIST000084</t>
  </si>
  <si>
    <t>003-207-11</t>
  </si>
  <si>
    <t>003_207_11_UMF_Todos_Santos</t>
  </si>
  <si>
    <t>UMF Todos Santos</t>
  </si>
  <si>
    <t>Zaragoza E SN Col. Centro</t>
  </si>
  <si>
    <t>Queretaro-UMF Toliman</t>
  </si>
  <si>
    <t>2727</t>
  </si>
  <si>
    <t>QTIST000092</t>
  </si>
  <si>
    <t>022-205-14</t>
  </si>
  <si>
    <t>022_205_14_UMF_Toliman</t>
  </si>
  <si>
    <t>UMF Toliman</t>
  </si>
  <si>
    <t>Camino al Auditorio Col. Centro</t>
  </si>
  <si>
    <t>San Pablo Toliman</t>
  </si>
  <si>
    <t>Jalisco-UMF Tomatlan</t>
  </si>
  <si>
    <t>3132</t>
  </si>
  <si>
    <t>JCIST000120</t>
  </si>
  <si>
    <t>014-210-01</t>
  </si>
  <si>
    <t>014_210_01_UMF_Tomatlan</t>
  </si>
  <si>
    <t>UMF Tomatlan</t>
  </si>
  <si>
    <t>Revolucion No. 149 Col. Delicias</t>
  </si>
  <si>
    <t>Tomatlan</t>
  </si>
  <si>
    <t>Chiapas-UMF Tonala</t>
  </si>
  <si>
    <t>2943</t>
  </si>
  <si>
    <t>CSIST000234</t>
  </si>
  <si>
    <t>007-208-17</t>
  </si>
  <si>
    <t>007_208_17_UMF_Tonala</t>
  </si>
  <si>
    <t>UMF Tonala</t>
  </si>
  <si>
    <t>Carr. Tonala Paredon Km 2 SN Col. Francisco y Madero</t>
  </si>
  <si>
    <t>Tonala</t>
  </si>
  <si>
    <t>Hidalgo-UMF Tula de Allende</t>
  </si>
  <si>
    <t>3111</t>
  </si>
  <si>
    <t>HGIST000135</t>
  </si>
  <si>
    <t>013-208-05</t>
  </si>
  <si>
    <t>013_208_05_UMF_Tula_de_Allende</t>
  </si>
  <si>
    <t>UMF Tula de Allende</t>
  </si>
  <si>
    <t>20 de Noviembre y 2 No. 2042 Col. Fovissste</t>
  </si>
  <si>
    <t>Tula</t>
  </si>
  <si>
    <t>Jalisco-UMF Tuxpan</t>
  </si>
  <si>
    <t>2050</t>
  </si>
  <si>
    <t>JCIST000791</t>
  </si>
  <si>
    <t>014-208-01</t>
  </si>
  <si>
    <t>014_208_01_UMF_Tuxpan</t>
  </si>
  <si>
    <t>UMF Tuxpan</t>
  </si>
  <si>
    <t>Gral. Jose Figueroa Cortez SN Col. Camino Real</t>
  </si>
  <si>
    <t>Nayarit-UMF Tuxpan</t>
  </si>
  <si>
    <t>3180</t>
  </si>
  <si>
    <t>NTIST000132</t>
  </si>
  <si>
    <t>018-205-06</t>
  </si>
  <si>
    <t>018_205_06_UMF_Tuxpan</t>
  </si>
  <si>
    <t>Prol. Independencia SN Col. Emiliano Zapata</t>
  </si>
  <si>
    <t>Yucatan-UMF UHF San Carlos Merida</t>
  </si>
  <si>
    <t>2532</t>
  </si>
  <si>
    <t>YNIST000136</t>
  </si>
  <si>
    <t>031-201-01</t>
  </si>
  <si>
    <t>031_201_01_UMF_UHF_San_Carlos_Merida</t>
  </si>
  <si>
    <t>UMF UHF San Carlos Merida</t>
  </si>
  <si>
    <t>9 No. 310 Col. Fracc. San Carlos</t>
  </si>
  <si>
    <t>Jalisco-UMF Union de Tula</t>
  </si>
  <si>
    <t>014_209_04_UMF_Union_de_Tula</t>
  </si>
  <si>
    <t>UMF Union de Tula</t>
  </si>
  <si>
    <t>Oaxaca-UMF Union Hidalgo</t>
  </si>
  <si>
    <t>OCIST000585</t>
  </si>
  <si>
    <t>020-204-03</t>
  </si>
  <si>
    <t>020_204_03_UMF_Union_Hidalgo</t>
  </si>
  <si>
    <t>UMF Union Hidalgo</t>
  </si>
  <si>
    <t>Carretera a la Venta SN Col. Venustiano Carranza</t>
  </si>
  <si>
    <t>Union Hidalgo</t>
  </si>
  <si>
    <t>Sonora-UMF Ures</t>
  </si>
  <si>
    <t>3322</t>
  </si>
  <si>
    <t>SRIST000220</t>
  </si>
  <si>
    <t>026-212-05</t>
  </si>
  <si>
    <t>026_212_05_UMF_Ures</t>
  </si>
  <si>
    <t>UMF Ures</t>
  </si>
  <si>
    <t>Lafontaine SN Col. Centro</t>
  </si>
  <si>
    <t>Heroica Cd de Ures</t>
  </si>
  <si>
    <t>Guanajuato-UMF Uriangato Antes Fovi Guanajuato</t>
  </si>
  <si>
    <t>3052</t>
  </si>
  <si>
    <t>GTIST000185</t>
  </si>
  <si>
    <t>011-204-05</t>
  </si>
  <si>
    <t>011_204_05_UMF_Uriangato_Antes_Fovi_Guanajuato</t>
  </si>
  <si>
    <t>UMF Uriangato Antes Fovi Guanajuato</t>
  </si>
  <si>
    <t>Tercera Priv. de Zaragoza SN Col. Centro</t>
  </si>
  <si>
    <t>Uriangato</t>
  </si>
  <si>
    <t>Yucatan-UMF Valladolid</t>
  </si>
  <si>
    <t>2779</t>
  </si>
  <si>
    <t>YNIST000100</t>
  </si>
  <si>
    <t>031-201-15</t>
  </si>
  <si>
    <t>031_201_15_UMF_Valladolid</t>
  </si>
  <si>
    <t>UMF Valladolid</t>
  </si>
  <si>
    <t>60 SN Col. Bacalar</t>
  </si>
  <si>
    <t>Valladolid</t>
  </si>
  <si>
    <t>Guanajuato-UMF Valle de Santiago</t>
  </si>
  <si>
    <t>3044</t>
  </si>
  <si>
    <t>GTIST000190</t>
  </si>
  <si>
    <t>011-204-06</t>
  </si>
  <si>
    <t>011_204_06_UMF_Valle_de_Santiago</t>
  </si>
  <si>
    <t>UMF Valle de Santiago</t>
  </si>
  <si>
    <t>Pino Suarez SN Col. Lindavista</t>
  </si>
  <si>
    <t>Valle de Santiago</t>
  </si>
  <si>
    <t>Tamaulipas-UMF Valle Hermoso</t>
  </si>
  <si>
    <t>3376</t>
  </si>
  <si>
    <t>TSIST000141</t>
  </si>
  <si>
    <t>028-207-02</t>
  </si>
  <si>
    <t>028_207_02_UMF_Valle_Hermoso</t>
  </si>
  <si>
    <t>UMF Valle Hermoso</t>
  </si>
  <si>
    <t>Zapata Esq. Quinta SN Col. Centro Valle Hermoso Col. Centro</t>
  </si>
  <si>
    <t>Valle Hermoso</t>
  </si>
  <si>
    <t>Zacatecas-UMF Valparaiso</t>
  </si>
  <si>
    <t>2809</t>
  </si>
  <si>
    <t>ZSIST000155</t>
  </si>
  <si>
    <t>032-205-26</t>
  </si>
  <si>
    <t>032_205_26_UMF_Valparaiso</t>
  </si>
  <si>
    <t>UMF Valparaiso</t>
  </si>
  <si>
    <t>Abasolo No. 100 Col. Centro</t>
  </si>
  <si>
    <t>Valparaiso</t>
  </si>
  <si>
    <t>Durango-UMF Vicente Guerrero</t>
  </si>
  <si>
    <t>2633</t>
  </si>
  <si>
    <t>DGIST000182</t>
  </si>
  <si>
    <t>010-207-18</t>
  </si>
  <si>
    <t>010_207_18_UMF_Vicente_Guerrero</t>
  </si>
  <si>
    <t>UMF Vicente Guerrero</t>
  </si>
  <si>
    <t>C. Fco. Javier Mina SN, Zona Centro</t>
  </si>
  <si>
    <t>Zacatecas-UMF Victor Calera Rosales</t>
  </si>
  <si>
    <t>2797</t>
  </si>
  <si>
    <t>ZSIST000015</t>
  </si>
  <si>
    <t>032-204-02</t>
  </si>
  <si>
    <t>032_204_02_UMF_Victor_Calera_Rosales</t>
  </si>
  <si>
    <t>UMF Victor Calera Rosales</t>
  </si>
  <si>
    <t>Carr. Panamericana SN Col. Centro</t>
  </si>
  <si>
    <t>Victor Rosales</t>
  </si>
  <si>
    <t>Veracruz-UMF Villa Azueta</t>
  </si>
  <si>
    <t>3415</t>
  </si>
  <si>
    <t>VZIST000260</t>
  </si>
  <si>
    <t>030-213-07</t>
  </si>
  <si>
    <t>030_213_07_UMF_Villa_Azueta</t>
  </si>
  <si>
    <t>UMF Villa Azueta</t>
  </si>
  <si>
    <t>Ignacion Allende No. 60 Col. Venecia</t>
  </si>
  <si>
    <t>Villa Azueta</t>
  </si>
  <si>
    <t>Tabasco-UMF Villa Benito Juarez Cardenas</t>
  </si>
  <si>
    <t>3354</t>
  </si>
  <si>
    <t>TCIST000046</t>
  </si>
  <si>
    <t>027-206-12</t>
  </si>
  <si>
    <t>027_206_12_UMF_Villa_Benito_Juarez_Cardenas</t>
  </si>
  <si>
    <t>UMF Villa Benito Juarez Cardenas</t>
  </si>
  <si>
    <t>Av. Paraiso No. 114 entre Comacalco y Emiliano Zapata Col. Comalcalco</t>
  </si>
  <si>
    <t>Nuevo Leon-UMF Villa de Santiago</t>
  </si>
  <si>
    <t>2714</t>
  </si>
  <si>
    <t>NLIST000122</t>
  </si>
  <si>
    <t>019-204-23</t>
  </si>
  <si>
    <t>019_204_23_UMF_Villa_de_Santiago</t>
  </si>
  <si>
    <t>UMF Villa de Santiago</t>
  </si>
  <si>
    <t>Morelos 375 Col. Centro</t>
  </si>
  <si>
    <t>Villa Santiago</t>
  </si>
  <si>
    <t>Chiapas-UMF Villa Flores</t>
  </si>
  <si>
    <t>2976</t>
  </si>
  <si>
    <t>CSIST000263</t>
  </si>
  <si>
    <t>007-208-20</t>
  </si>
  <si>
    <t>007_208_20_UMF_Villa_Flores</t>
  </si>
  <si>
    <t>UMF Villa Flores</t>
  </si>
  <si>
    <t>Laureles 3 SN Col. Sta. Catarina</t>
  </si>
  <si>
    <t>Villaflores</t>
  </si>
  <si>
    <t>Tamaulipas-UMF Villa Gonzalez</t>
  </si>
  <si>
    <t>3381</t>
  </si>
  <si>
    <t>TSIST000030</t>
  </si>
  <si>
    <t>028-210-03</t>
  </si>
  <si>
    <t>028_210_03_UMF_Villa_Gonzalez</t>
  </si>
  <si>
    <t>UMF Villa Gonzalez</t>
  </si>
  <si>
    <t>20 de Noviembre y Abasolo No. 20 Col. Centro</t>
  </si>
  <si>
    <t>Gonzalez</t>
  </si>
  <si>
    <t>Nayarit-UMF Villa Hidalgo</t>
  </si>
  <si>
    <t>3189</t>
  </si>
  <si>
    <t>NTIST000103</t>
  </si>
  <si>
    <t>018-206-13</t>
  </si>
  <si>
    <t>018_206_13_UMF_Villa_Hidalgo</t>
  </si>
  <si>
    <t>UMF Villa Hidalgo</t>
  </si>
  <si>
    <t>Av. Hidalgo y Yucatan SN Col. Centro</t>
  </si>
  <si>
    <t>San Luis Potosi-UMF Villa Hidalgo</t>
  </si>
  <si>
    <t>2743</t>
  </si>
  <si>
    <t>SPIST000166</t>
  </si>
  <si>
    <t>024-206-07</t>
  </si>
  <si>
    <t>024_206_07_UMF_Villa_Hidalgo</t>
  </si>
  <si>
    <t>Hidalgo No. 32 Col. Magisterial</t>
  </si>
  <si>
    <t>Villa Hidalgo</t>
  </si>
  <si>
    <t>Baja California Sur-UMF Villa Insurgentes</t>
  </si>
  <si>
    <t>2914</t>
  </si>
  <si>
    <t>BSIST000026</t>
  </si>
  <si>
    <t>003-205-06</t>
  </si>
  <si>
    <t>003_205_06_UMF_Villa_Insurgentes</t>
  </si>
  <si>
    <t>UMF Villa Insurgentes</t>
  </si>
  <si>
    <t>Blvd. Morelos y Gomez Farias SN Col. Centro</t>
  </si>
  <si>
    <t>Cd Insurgentes</t>
  </si>
  <si>
    <t>Aguascalientes-UMF Villa Juarez</t>
  </si>
  <si>
    <t>2312</t>
  </si>
  <si>
    <t>ASIST000074</t>
  </si>
  <si>
    <t>001-205-05</t>
  </si>
  <si>
    <t>001_205_05_UMF_Villa_Juarez</t>
  </si>
  <si>
    <t>UMF Villa Juarez</t>
  </si>
  <si>
    <t>Villa Juarez Alameda SN Col. Villa Juarez</t>
  </si>
  <si>
    <t>Villa Juarez</t>
  </si>
  <si>
    <t>Chihuahua-UMF Villa Matamoros</t>
  </si>
  <si>
    <t>2587</t>
  </si>
  <si>
    <t>CHIST000136</t>
  </si>
  <si>
    <t>008-207-09</t>
  </si>
  <si>
    <t>008_207_09_UMF_Villa_Matamoros</t>
  </si>
  <si>
    <t>UMF Villa Matamoros</t>
  </si>
  <si>
    <t>Domicilio Conocido SN Cerca de la Clinica Hospital Col. Centro</t>
  </si>
  <si>
    <t>Mariano Matamoros</t>
  </si>
  <si>
    <t>Durango-UMF Villa Union</t>
  </si>
  <si>
    <t>2616</t>
  </si>
  <si>
    <t>DGIST000334</t>
  </si>
  <si>
    <t>010-207-19</t>
  </si>
  <si>
    <t>010_207_19_UMF_Villa_Union</t>
  </si>
  <si>
    <t>UMF Villa Union</t>
  </si>
  <si>
    <t>Carr. Villa de San Atenogenes Km 1</t>
  </si>
  <si>
    <t>Villa Union, Poanas</t>
  </si>
  <si>
    <t>Guanajuato-UMF Villa Victoria</t>
  </si>
  <si>
    <t>2023</t>
  </si>
  <si>
    <t>GTIST000395</t>
  </si>
  <si>
    <t>011-206-06</t>
  </si>
  <si>
    <t>011_206_06_UMF_Villa_Victoria</t>
  </si>
  <si>
    <t>UMF Villa Victoria</t>
  </si>
  <si>
    <t>Prol. Libertad Col. Carr. Milpillas Entronque El Tasajillo</t>
  </si>
  <si>
    <t>Villa Victoria</t>
  </si>
  <si>
    <t>Tamaulipas-UMF Villa Xicotencatl</t>
  </si>
  <si>
    <t>3382</t>
  </si>
  <si>
    <t>TSIST000165</t>
  </si>
  <si>
    <t>028-210-04</t>
  </si>
  <si>
    <t>028_210_04_UMF_Villa_Xicotencatl</t>
  </si>
  <si>
    <t>UMF Villa Xicotencatl</t>
  </si>
  <si>
    <t>Morelos. Carr. 5 Ingenios 15 Col. Verastegui</t>
  </si>
  <si>
    <t>Xicotencatl</t>
  </si>
  <si>
    <t>Guanajuato-UMF Villagran</t>
  </si>
  <si>
    <t>3056</t>
  </si>
  <si>
    <t>GTIST000400</t>
  </si>
  <si>
    <t>011-207-15</t>
  </si>
  <si>
    <t>011_207_15_UMF_Villagran</t>
  </si>
  <si>
    <t>UMF Villagran</t>
  </si>
  <si>
    <t>Blvd. Luis Donaldo Colosio SN Esq. Ventura Morales Col. Zona Centro</t>
  </si>
  <si>
    <t>Villagran</t>
  </si>
  <si>
    <t>Puebla-UMF Xicotepec de Juarez</t>
  </si>
  <si>
    <t>3254</t>
  </si>
  <si>
    <t>PLIST000195</t>
  </si>
  <si>
    <t>021-207-02</t>
  </si>
  <si>
    <t>021_207_02_UMF_Xicotepec_de_Juarez</t>
  </si>
  <si>
    <t>UMF Xicotepec de Juarez</t>
  </si>
  <si>
    <t>Zaragoza 260 Union B Col. Centro</t>
  </si>
  <si>
    <t>Xicotepec de Juarez</t>
  </si>
  <si>
    <t>San Luis Potosi-UMF Xilitla</t>
  </si>
  <si>
    <t>3280</t>
  </si>
  <si>
    <t>SPIST000183</t>
  </si>
  <si>
    <t>024-205-05</t>
  </si>
  <si>
    <t>024_205_05_UMF_Xilitla</t>
  </si>
  <si>
    <t>UMF Xilitla</t>
  </si>
  <si>
    <t>Amado Nervo SN Col. Jardin</t>
  </si>
  <si>
    <t>Xilitla</t>
  </si>
  <si>
    <t>Jalisco-UMF Yahualica de Gonzalez Gallo</t>
  </si>
  <si>
    <t>4520</t>
  </si>
  <si>
    <t>JCIST000832</t>
  </si>
  <si>
    <t>014-206-19</t>
  </si>
  <si>
    <t>014_206_19_UMF_Yahualica_de_Gonzalez_Gallo</t>
  </si>
  <si>
    <t>UMF Yahualica de Gonzalez Gallo</t>
  </si>
  <si>
    <t>Cardenal entre Jilguero y Pelicano Col. Cruz de Zacate</t>
  </si>
  <si>
    <t>Yahualica de Gonzalez Gallo</t>
  </si>
  <si>
    <t>Chiapas-UMF Yajalon</t>
  </si>
  <si>
    <t>2941</t>
  </si>
  <si>
    <t>CSIST000275</t>
  </si>
  <si>
    <t>007-206-03</t>
  </si>
  <si>
    <t>007_206_03_UMF_Yajalon</t>
  </si>
  <si>
    <t>UMF Yajalon</t>
  </si>
  <si>
    <t>1A. Oriente Sur No. 14 Col. Centro</t>
  </si>
  <si>
    <t>Yajalon</t>
  </si>
  <si>
    <t>Morelos-UMF Yautepec</t>
  </si>
  <si>
    <t>2696</t>
  </si>
  <si>
    <t>MSIST000112</t>
  </si>
  <si>
    <t>017-205-05</t>
  </si>
  <si>
    <t>017_205_05_UMF_Yautepec</t>
  </si>
  <si>
    <t>UMF Yautepec</t>
  </si>
  <si>
    <t>Pase Tlahuica No. 163 Col. Centro</t>
  </si>
  <si>
    <t>Yautepec de Zaragoza</t>
  </si>
  <si>
    <t>Morelos-UMF Yecapixtla</t>
  </si>
  <si>
    <t>2697</t>
  </si>
  <si>
    <t>MSIST000276</t>
  </si>
  <si>
    <t>017-205-06</t>
  </si>
  <si>
    <t>017_205_06_UMF_Yecapixtla</t>
  </si>
  <si>
    <t>UMF Yecapixtla</t>
  </si>
  <si>
    <t>Carr. Yecapixtla Achichipico Km 1.29 Col. Aquiles Serdan</t>
  </si>
  <si>
    <t>Yecapixtla</t>
  </si>
  <si>
    <t>Guanajuato-UMF Yuriria     </t>
  </si>
  <si>
    <t>3045</t>
  </si>
  <si>
    <t>GTIST000202</t>
  </si>
  <si>
    <t>011-204-07</t>
  </si>
  <si>
    <t>011_204_07_UMF_Yuriria     </t>
  </si>
  <si>
    <t>UMF Yuriria     </t>
  </si>
  <si>
    <t>Fray Miguel Zavala No. 1 Col. Centro</t>
  </si>
  <si>
    <t>Yuriria</t>
  </si>
  <si>
    <t>Tlaxcala-UMF Zacatelco</t>
  </si>
  <si>
    <t>2509</t>
  </si>
  <si>
    <t>TLIST000054</t>
  </si>
  <si>
    <t>029-204-04</t>
  </si>
  <si>
    <t>029_204_04_UMF_Zacatelco</t>
  </si>
  <si>
    <t>UMF Zacatelco</t>
  </si>
  <si>
    <t>Av. Barranca Seca No. 94 Col. 4 Caminos 2A Seccion Barrio del Xatlaltl</t>
  </si>
  <si>
    <t>Zacatelco</t>
  </si>
  <si>
    <t>Morelos-UMF Zacatepec</t>
  </si>
  <si>
    <t>4609</t>
  </si>
  <si>
    <t>MSIST000124</t>
  </si>
  <si>
    <t>017-208-05</t>
  </si>
  <si>
    <t>017_208_05_UMF_Zacatepec</t>
  </si>
  <si>
    <t>UMF Zacatepec</t>
  </si>
  <si>
    <t>Sinaloa SN Col. Centro</t>
  </si>
  <si>
    <t>Zacatepec</t>
  </si>
  <si>
    <t>Puebla-UMF Zacatlan</t>
  </si>
  <si>
    <t>3256</t>
  </si>
  <si>
    <t>PLIST000200</t>
  </si>
  <si>
    <t>021-207-05</t>
  </si>
  <si>
    <t>021_207_05_UMF_Zacatlan</t>
  </si>
  <si>
    <t>UMF Zacatlan</t>
  </si>
  <si>
    <t>Constitucion de 1917 No. 9 Col. Centro</t>
  </si>
  <si>
    <t>Zacatlan</t>
  </si>
  <si>
    <t>Hidalgo-UMF Zacualtipan</t>
  </si>
  <si>
    <t>3119</t>
  </si>
  <si>
    <t>HGIST000152</t>
  </si>
  <si>
    <t>013-210-08</t>
  </si>
  <si>
    <t>013_210_08_UMF_Zacualtipan</t>
  </si>
  <si>
    <t>UMF Zacualtipan</t>
  </si>
  <si>
    <t>Heroes de la Revolucion SN Col. Lopez Mateos</t>
  </si>
  <si>
    <t>Zacualtipan</t>
  </si>
  <si>
    <t>Coahuila-UMF Zaragoza</t>
  </si>
  <si>
    <t>3004</t>
  </si>
  <si>
    <t>CLIST000135</t>
  </si>
  <si>
    <t>005-207-03</t>
  </si>
  <si>
    <t>005_207_03_UMF_Zaragoza</t>
  </si>
  <si>
    <t>UMF Zaragoza</t>
  </si>
  <si>
    <t>Jose Maria Morelos Esq. Manuel Mier y Teran SN Col. Centro</t>
  </si>
  <si>
    <t>Puebla-UMF Zaragoza</t>
  </si>
  <si>
    <t>4510</t>
  </si>
  <si>
    <t>PLIST000460</t>
  </si>
  <si>
    <t>021-210-07</t>
  </si>
  <si>
    <t>021_210_07_UMF_Zaragoza</t>
  </si>
  <si>
    <t>16 Norte y 8 Oriente Col. Ampliacion Zaragoza</t>
  </si>
  <si>
    <t>Zaragoza</t>
  </si>
  <si>
    <t>Guerrero-UMF Zihuatanejo</t>
  </si>
  <si>
    <t>2311</t>
  </si>
  <si>
    <t>GRIST000165</t>
  </si>
  <si>
    <t>012-208-19</t>
  </si>
  <si>
    <t>012_208_19_UMF_Zihuatanejo</t>
  </si>
  <si>
    <t>UMF Zihuatanejo</t>
  </si>
  <si>
    <t>Paseo del Riscal Mz 1 Lt 1 Col. Zihuatanejo</t>
  </si>
  <si>
    <t>Zihuatanejo</t>
  </si>
  <si>
    <t>Veracruz-UMF Zongolica</t>
  </si>
  <si>
    <t>3399</t>
  </si>
  <si>
    <t>VZIST000313</t>
  </si>
  <si>
    <t>030-207-02</t>
  </si>
  <si>
    <t>030_207_02_UMF_Zongolica</t>
  </si>
  <si>
    <t>UMF Zongolica</t>
  </si>
  <si>
    <t>Ignacio Manuel Altamirano SN entre Azueta E Ing. Carrera Col. Centro</t>
  </si>
  <si>
    <t>Zongolica</t>
  </si>
  <si>
    <t>Estado de Mexico-UMF Zumpango de Ocampo</t>
  </si>
  <si>
    <t>2457</t>
  </si>
  <si>
    <t>MCIST000220</t>
  </si>
  <si>
    <t>015-205-02</t>
  </si>
  <si>
    <t>015_205_02_UMF_Zumpango_de_Ocampo</t>
  </si>
  <si>
    <t>UMF Zumpango de Ocampo</t>
  </si>
  <si>
    <t>Galeana y Belisario Dominguez SN Col. Barrio Santa Maria</t>
  </si>
  <si>
    <t>Zumpango de Ocampo</t>
  </si>
  <si>
    <t>Estado de Mexico-UMF Ixtlahuaca de Rayon</t>
  </si>
  <si>
    <t>2443</t>
  </si>
  <si>
    <t>MCIST000080</t>
  </si>
  <si>
    <t>015-213-04</t>
  </si>
  <si>
    <t>015_213_04_UMF_Ixtlahuaca_de_Rayon</t>
  </si>
  <si>
    <t>UMF Ixtlahuaca de Rayon</t>
  </si>
  <si>
    <t>Valentin Gomez Farias SN Col. Barrio de San Joaquin</t>
  </si>
  <si>
    <t>Ixtlahuaca de Rayon</t>
  </si>
  <si>
    <t>Zacatecas-UMF Loreto</t>
  </si>
  <si>
    <t>2800</t>
  </si>
  <si>
    <t>ZSIST000090</t>
  </si>
  <si>
    <t>032-204-13</t>
  </si>
  <si>
    <t>032_204_13_UMF_Loreto</t>
  </si>
  <si>
    <t>UMF Loreto</t>
  </si>
  <si>
    <t>Jose Maria Corella 402 Col. San Marcos</t>
  </si>
  <si>
    <t>Aguascalientes-Unidad Atencion Al Derechohabiente y Comunicacion Social</t>
  </si>
  <si>
    <t>001-107-00</t>
  </si>
  <si>
    <t>001_107_00_Unidad_Atencion_Al_Derechohabiente_y_Comunicacion_Social</t>
  </si>
  <si>
    <t>Unidad Atencion Al Derechohabiente y Comunicacion Social</t>
  </si>
  <si>
    <t>Baja California Sur-Unidad Atencion Al Derechohabiente y Comunicacion Social</t>
  </si>
  <si>
    <t>003-107-00</t>
  </si>
  <si>
    <t>003_107_00_Unidad_Atencion_Al_Derechohabiente_y_Comunicacion_Social</t>
  </si>
  <si>
    <t>Baja California-Unidad Atencion Al Derechohabiente y Comunicacion Social</t>
  </si>
  <si>
    <t>002-107-00</t>
  </si>
  <si>
    <t>002_107_00_Unidad_Atencion_Al_Derechohabiente_y_Comunicacion_Social</t>
  </si>
  <si>
    <t>Campeche-Unidad Atencion Al Derechohabiente y Comunicacion Social</t>
  </si>
  <si>
    <t>004-107-00</t>
  </si>
  <si>
    <t>004_107_00_Unidad_Atencion_Al_Derechohabiente_y_Comunicacion_Social</t>
  </si>
  <si>
    <t>CDMX-Unidad Atencion Al Derechohabiente y Comunicacion Social</t>
  </si>
  <si>
    <t>_Unidad_Atencion_Al_Derechohabiente_y_Comunicacion_Social</t>
  </si>
  <si>
    <t>Chiapas-Unidad Atencion Al Derechohabiente y Comunicacion Social</t>
  </si>
  <si>
    <t>007-107-00</t>
  </si>
  <si>
    <t>007_107_00_Unidad_Atencion_Al_Derechohabiente_y_Comunicacion_Social</t>
  </si>
  <si>
    <t>Chihuahua-Unidad Atencion Al Derechohabiente y Comunicacion Social</t>
  </si>
  <si>
    <t>008-107-00</t>
  </si>
  <si>
    <t>008_107_00_Unidad_Atencion_Al_Derechohabiente_y_Comunicacion_Social</t>
  </si>
  <si>
    <t>Coahuila-Unidad Atencion Al Derechohabiente y Comunicacion Social</t>
  </si>
  <si>
    <t>005-107-00</t>
  </si>
  <si>
    <t>005_107_00_Unidad_Atencion_Al_Derechohabiente_y_Comunicacion_Social</t>
  </si>
  <si>
    <t>Colima-Unidad Atencion Al Derechohabiente y Comunicacion Social</t>
  </si>
  <si>
    <t>006-107-00</t>
  </si>
  <si>
    <t>006_107_00_Unidad_Atencion_Al_Derechohabiente_y_Comunicacion_Social</t>
  </si>
  <si>
    <t>Estado de Mexico-Unidad Atencion Al Derechohabiente y Comunicacion Social</t>
  </si>
  <si>
    <t>015-107-00</t>
  </si>
  <si>
    <t>015_107_00_Unidad_Atencion_Al_Derechohabiente_y_Comunicacion_Social</t>
  </si>
  <si>
    <t>Guanajuato-Unidad Atencion Al Derechohabiente y Comunicacion Social</t>
  </si>
  <si>
    <t>011-107-00</t>
  </si>
  <si>
    <t>011_107_00_Unidad_Atencion_Al_Derechohabiente_y_Comunicacion_Social</t>
  </si>
  <si>
    <t>Guerrero-Unidad Atencion Al Derechohabiente y Comunicacion Social</t>
  </si>
  <si>
    <t>012-107-00</t>
  </si>
  <si>
    <t>012_107_00_Unidad_Atencion_Al_Derechohabiente_y_Comunicacion_Social</t>
  </si>
  <si>
    <t>Hidalgo-Unidad Atencion Al Derechohabiente y Comunicacion Social</t>
  </si>
  <si>
    <t>013-107-00</t>
  </si>
  <si>
    <t>013_107_00_Unidad_Atencion_Al_Derechohabiente_y_Comunicacion_Social</t>
  </si>
  <si>
    <t>Jalisco-Unidad Atencion Al Derechohabiente y Comunicacion Social</t>
  </si>
  <si>
    <t>014-107-00</t>
  </si>
  <si>
    <t>014_107_00_Unidad_Atencion_Al_Derechohabiente_y_Comunicacion_Social</t>
  </si>
  <si>
    <t>Michoacan-Unidad Atencion Al Derechohabiente y Comunicacion Social</t>
  </si>
  <si>
    <t>016-107-00</t>
  </si>
  <si>
    <t>016_107_00_Unidad_Atencion_Al_Derechohabiente_y_Comunicacion_Social</t>
  </si>
  <si>
    <t>Morelos-Unidad Atencion Al Derechohabiente y Comunicacion Social</t>
  </si>
  <si>
    <t>017-107-00</t>
  </si>
  <si>
    <t>017_107_00_Unidad_Atencion_Al_Derechohabiente_y_Comunicacion_Social</t>
  </si>
  <si>
    <t>Nayarit-Unidad Atencion Al Derechohabiente y Comunicacion Social</t>
  </si>
  <si>
    <t>018-107-00</t>
  </si>
  <si>
    <t>018_107_00_Unidad_Atencion_Al_Derechohabiente_y_Comunicacion_Social</t>
  </si>
  <si>
    <t>Nuevo Leon-Unidad Atencion Al Derechohabiente y Comunicacion Social</t>
  </si>
  <si>
    <t>019-107-00</t>
  </si>
  <si>
    <t>019_107_00_Unidad_Atencion_Al_Derechohabiente_y_Comunicacion_Social</t>
  </si>
  <si>
    <t>Oaxaca-Unidad Atencion Al Derechohabiente y Comunicacion Social</t>
  </si>
  <si>
    <t>020-107-00</t>
  </si>
  <si>
    <t>020_107_00_Unidad_Atencion_Al_Derechohabiente_y_Comunicacion_Social</t>
  </si>
  <si>
    <t>Puebla-Unidad Atencion Al Derechohabiente y Comunicacion Social</t>
  </si>
  <si>
    <t>021-107-00</t>
  </si>
  <si>
    <t>021_107_00_Unidad_Atencion_Al_Derechohabiente_y_Comunicacion_Social</t>
  </si>
  <si>
    <t>Queretaro-Unidad Atencion Al Derechohabiente y Comunicacion Social</t>
  </si>
  <si>
    <t>022-107-00</t>
  </si>
  <si>
    <t>022_107_00_Unidad_Atencion_Al_Derechohabiente_y_Comunicacion_Social</t>
  </si>
  <si>
    <t>Quintana Roo-Unidad Atencion Al Derechohabiente y Comunicacion Social</t>
  </si>
  <si>
    <t>023-107-00</t>
  </si>
  <si>
    <t>023_107_00_Unidad_Atencion_Al_Derechohabiente_y_Comunicacion_Social</t>
  </si>
  <si>
    <t>San Luis Potosi-Unidad Atencion Al Derechohabiente y Comunicacion Social</t>
  </si>
  <si>
    <t>024-107-00</t>
  </si>
  <si>
    <t>024_107_00_Unidad_Atencion_Al_Derechohabiente_y_Comunicacion_Social</t>
  </si>
  <si>
    <t>Sinaloa-Unidad Atencion Al Derechohabiente y Comunicacion Social</t>
  </si>
  <si>
    <t>025-107-00</t>
  </si>
  <si>
    <t>025_107_00_Unidad_Atencion_Al_Derechohabiente_y_Comunicacion_Social</t>
  </si>
  <si>
    <t>Tabasco-Unidad Atencion Al Derechohabiente y Comunicacion Social</t>
  </si>
  <si>
    <t>027-107-00</t>
  </si>
  <si>
    <t>027_107_00_Unidad_Atencion_Al_Derechohabiente_y_Comunicacion_Social</t>
  </si>
  <si>
    <t>Tamaulipas-Unidad Atencion Al Derechohabiente y Comunicacion Social</t>
  </si>
  <si>
    <t>028-107-00</t>
  </si>
  <si>
    <t>028_107_00_Unidad_Atencion_Al_Derechohabiente_y_Comunicacion_Social</t>
  </si>
  <si>
    <t>Tlaxcala-Unidad Atencion Al Derechohabiente y Comunicacion Social</t>
  </si>
  <si>
    <t>029-107-00</t>
  </si>
  <si>
    <t>029_107_00_Unidad_Atencion_Al_Derechohabiente_y_Comunicacion_Social</t>
  </si>
  <si>
    <t>Yucatan-Unidad Atencion Al Derechohabiente y Comunicacion Social</t>
  </si>
  <si>
    <t>031-107-00</t>
  </si>
  <si>
    <t>031_107_00_Unidad_Atencion_Al_Derechohabiente_y_Comunicacion_Social</t>
  </si>
  <si>
    <t>Zacatecas-Unidad Atencion Al Derechohabiente y Comunicacion Social</t>
  </si>
  <si>
    <t>032-107-00</t>
  </si>
  <si>
    <t>032_107_00_Unidad_Atencion_Al_Derechohabiente_y_Comunicacion_Social</t>
  </si>
  <si>
    <t>Durango-Unidad Atencion Al Derhbte y Comunicacion Soc</t>
  </si>
  <si>
    <t>010-107-00</t>
  </si>
  <si>
    <t>010_107_00_Unidad_Atencion_Al_Derhbte_y_Comunicacion_Soc</t>
  </si>
  <si>
    <t>Unidad Atencion Al Derhbte y Comunicacion Soc</t>
  </si>
  <si>
    <t>CDMX-Unidad de Comunicacion Social</t>
  </si>
  <si>
    <t>107_000_00_Unidad_de_Comunicacion_Social</t>
  </si>
  <si>
    <t>Unidad de Comunicacion Social</t>
  </si>
  <si>
    <t>CDMX-Unidad de Oblig Fiscales Institucionales</t>
  </si>
  <si>
    <t>_Unidad_de_Oblig_Fiscales_Institucionales</t>
  </si>
  <si>
    <t>Unidad de Oblig Fiscales Institucionales</t>
  </si>
  <si>
    <t>CDMX-Unidad de Obligaciones Fiscales Institucionales</t>
  </si>
  <si>
    <t>120-129-00</t>
  </si>
  <si>
    <t>120_129_00_Unidad_de_Obligaciones_Fiscales_Institucionales</t>
  </si>
  <si>
    <t>Unidad de Obligaciones Fiscales Institucionales</t>
  </si>
  <si>
    <t>CDMX-Unidad de Transparencia</t>
  </si>
  <si>
    <t>_Unidad_de_Transparencia</t>
  </si>
  <si>
    <t>Unidad de Transparencia</t>
  </si>
  <si>
    <t>Aguascalientes-Unidad Juridica</t>
  </si>
  <si>
    <t>001-600-00</t>
  </si>
  <si>
    <t>001_600_00_Unidad_Juridica</t>
  </si>
  <si>
    <t>Unidad Juridica</t>
  </si>
  <si>
    <t>Baja California Sur-Unidad Juridica</t>
  </si>
  <si>
    <t>003-600-00</t>
  </si>
  <si>
    <t>003_600_00_Unidad_Juridica</t>
  </si>
  <si>
    <t>Baja California-Unidad Juridica</t>
  </si>
  <si>
    <t>002-600-00</t>
  </si>
  <si>
    <t>002_600_00_Unidad_Juridica</t>
  </si>
  <si>
    <t>Campeche-Unidad Juridica</t>
  </si>
  <si>
    <t>004-600-00</t>
  </si>
  <si>
    <t>004_600_00_Unidad_Juridica</t>
  </si>
  <si>
    <t>Chiapas-Unidad Juridica</t>
  </si>
  <si>
    <t>007-600-00</t>
  </si>
  <si>
    <t>007_600_00_Unidad_Juridica</t>
  </si>
  <si>
    <t>Chihuahua-Unidad Juridica</t>
  </si>
  <si>
    <t>008-600-00</t>
  </si>
  <si>
    <t>008_600_00_Unidad_Juridica</t>
  </si>
  <si>
    <t>Coahuila-Unidad Juridica</t>
  </si>
  <si>
    <t>005-600-00</t>
  </si>
  <si>
    <t>005_600_00_Unidad_Juridica</t>
  </si>
  <si>
    <t>Colima-Unidad Juridica</t>
  </si>
  <si>
    <t>006-600-00</t>
  </si>
  <si>
    <t>006_600_00_Unidad_Juridica</t>
  </si>
  <si>
    <t>Durango-Unidad Juridica</t>
  </si>
  <si>
    <t>010-600-00</t>
  </si>
  <si>
    <t>010_600_00_Unidad_Juridica</t>
  </si>
  <si>
    <t>Estado de Mexico-Unidad Juridica</t>
  </si>
  <si>
    <t>015-600-00</t>
  </si>
  <si>
    <t>015_600_00_Unidad_Juridica</t>
  </si>
  <si>
    <t>Guanajuato-Unidad Juridica</t>
  </si>
  <si>
    <t>011-600-00</t>
  </si>
  <si>
    <t>011_600_00_Unidad_Juridica</t>
  </si>
  <si>
    <t>Guerrero-Unidad Juridica</t>
  </si>
  <si>
    <t>012-600-00</t>
  </si>
  <si>
    <t>012_600_00_Unidad_Juridica</t>
  </si>
  <si>
    <t>Hidalgo-Unidad Juridica</t>
  </si>
  <si>
    <t>013-600-00</t>
  </si>
  <si>
    <t>013_600_00_Unidad_Juridica</t>
  </si>
  <si>
    <t>Jalisco-Unidad Juridica</t>
  </si>
  <si>
    <t>014-600-00</t>
  </si>
  <si>
    <t>014_600_00_Unidad_Juridica</t>
  </si>
  <si>
    <t>Michoacan-Unidad Juridica</t>
  </si>
  <si>
    <t>016-600-00</t>
  </si>
  <si>
    <t>016_600_00_Unidad_Juridica</t>
  </si>
  <si>
    <t>Morelos-Unidad Juridica</t>
  </si>
  <si>
    <t>017-600-00</t>
  </si>
  <si>
    <t>017_600_00_Unidad_Juridica</t>
  </si>
  <si>
    <t>Nayarit-Unidad Juridica</t>
  </si>
  <si>
    <t>018-600-00</t>
  </si>
  <si>
    <t>018_600_00_Unidad_Juridica</t>
  </si>
  <si>
    <t>Nuevo Leon-Unidad Juridica</t>
  </si>
  <si>
    <t>019-600-00</t>
  </si>
  <si>
    <t>019_600_00_Unidad_Juridica</t>
  </si>
  <si>
    <t>Puebla-Unidad Juridica</t>
  </si>
  <si>
    <t>021-600-00</t>
  </si>
  <si>
    <t>021_600_00_Unidad_Juridica</t>
  </si>
  <si>
    <t>Queretaro-Unidad Juridica</t>
  </si>
  <si>
    <t>022-600-00</t>
  </si>
  <si>
    <t>022_600_00_Unidad_Juridica</t>
  </si>
  <si>
    <t>Quintana Roo-Unidad Juridica</t>
  </si>
  <si>
    <t>023-600-00</t>
  </si>
  <si>
    <t>023_600_00_Unidad_Juridica</t>
  </si>
  <si>
    <t>San Luis Potosi-Unidad Juridica</t>
  </si>
  <si>
    <t>024-600-00</t>
  </si>
  <si>
    <t>024_600_00_Unidad_Juridica</t>
  </si>
  <si>
    <t>Sinaloa-Unidad Juridica</t>
  </si>
  <si>
    <t>025-600-00</t>
  </si>
  <si>
    <t>025_600_00_Unidad_Juridica</t>
  </si>
  <si>
    <t>Sonora-Unidad Juridica</t>
  </si>
  <si>
    <t>026-600-00</t>
  </si>
  <si>
    <t>026_600_00_Unidad_Juridica</t>
  </si>
  <si>
    <t>Tabasco-Unidad Juridica</t>
  </si>
  <si>
    <t>027-600-00</t>
  </si>
  <si>
    <t>027_600_00_Unidad_Juridica</t>
  </si>
  <si>
    <t>Tamaulipas-Unidad Juridica</t>
  </si>
  <si>
    <t>028-600-00</t>
  </si>
  <si>
    <t>028_600_00_Unidad_Juridica</t>
  </si>
  <si>
    <t>Tlaxcala-Unidad Juridica</t>
  </si>
  <si>
    <t>029-600-00</t>
  </si>
  <si>
    <t>029_600_00_Unidad_Juridica</t>
  </si>
  <si>
    <t>Veracruz-Unidad Juridica</t>
  </si>
  <si>
    <t>030-600-00</t>
  </si>
  <si>
    <t>030_600_00_Unidad_Juridica</t>
  </si>
  <si>
    <t>Yucatan-Unidad Juridica</t>
  </si>
  <si>
    <t>031-600-00</t>
  </si>
  <si>
    <t>031_600_00_Unidad_Juridica</t>
  </si>
  <si>
    <t>Zacatecas-Unidad Juridica</t>
  </si>
  <si>
    <t>032-600-00</t>
  </si>
  <si>
    <t>032_600_00_Unidad_Juridica</t>
  </si>
  <si>
    <t>CDMX-Unidad Juridica Regional Norte</t>
  </si>
  <si>
    <t>091-600-00</t>
  </si>
  <si>
    <t>091_600_00_Unidad_Juridica_Regional_Norte</t>
  </si>
  <si>
    <t>Unidad Juridica Regional Norte</t>
  </si>
  <si>
    <t>CDMX-Unidad Juridica Regional Oriente</t>
  </si>
  <si>
    <t>092-600-00</t>
  </si>
  <si>
    <t>092_600_00_Unidad_Juridica_Regional_Oriente</t>
  </si>
  <si>
    <t>Unidad Juridica Regional Oriente</t>
  </si>
  <si>
    <t>CDMX-Unidad Juridica Regional Poniente</t>
  </si>
  <si>
    <t>094-600-00</t>
  </si>
  <si>
    <t>094_600_00_Unidad_Juridica_Regional_Poniente</t>
  </si>
  <si>
    <t>Unidad Juridica Regional Poniente</t>
  </si>
  <si>
    <t>CDMX-Unidad Juridica Regional Sur</t>
  </si>
  <si>
    <t>093-600-00</t>
  </si>
  <si>
    <t>093_600_00_Unidad_Juridica_Regional_Sur</t>
  </si>
  <si>
    <t>Unidad Juridica Regional Sur</t>
  </si>
  <si>
    <t>Veracruz-UPE Boca del Rio</t>
  </si>
  <si>
    <t>2521</t>
  </si>
  <si>
    <t>_UPE_Boca_del_Rio</t>
  </si>
  <si>
    <t>UPE Boca del Rio</t>
  </si>
  <si>
    <t>Av.Urano SN Esq. Lopez Mateos Col. Estatuto Juridico</t>
  </si>
  <si>
    <t>Boca del Rio</t>
  </si>
  <si>
    <t>CDMX-UPE Carpio y Lauro Aguirre UP No 8 IPN</t>
  </si>
  <si>
    <t>2375</t>
  </si>
  <si>
    <t>091-301-10</t>
  </si>
  <si>
    <t>_UPE_No_8_IPN</t>
  </si>
  <si>
    <t>UPE Carpio y Lauro Aguirre UP No 8 IPN</t>
  </si>
  <si>
    <t>Prol. del Carpio y Lauro Aguirre SN Col. Santo Tomas</t>
  </si>
  <si>
    <t>Tamaulipas-UPE Cd Mante</t>
  </si>
  <si>
    <t>3358</t>
  </si>
  <si>
    <t>028-301-10</t>
  </si>
  <si>
    <t>028_301_10_UPE_Cd_Mante</t>
  </si>
  <si>
    <t>UPE Cd Mante</t>
  </si>
  <si>
    <t>Guillermo Prieto No. 701 Sur Col. Tamaulipas</t>
  </si>
  <si>
    <t>Tamaulipas-UPE Cd Reynosa</t>
  </si>
  <si>
    <t>2303</t>
  </si>
  <si>
    <t>028-301-11</t>
  </si>
  <si>
    <t>028_301_11_UPE_Cd_Reynosa</t>
  </si>
  <si>
    <t>UPE Cd Reynosa</t>
  </si>
  <si>
    <t>Blvd. Adolfo Lopez Mateos y Bravo SN Col. Bellavista</t>
  </si>
  <si>
    <t>Veracruz-UPE Coatzacoalcos</t>
  </si>
  <si>
    <t>2879</t>
  </si>
  <si>
    <t>030-301-10</t>
  </si>
  <si>
    <t>030_301_10_UPE_Coatzacoalcos</t>
  </si>
  <si>
    <t>UPE Coatzacoalcos</t>
  </si>
  <si>
    <t>Nahuatl No. 20 Col. Fracc. Fovissste</t>
  </si>
  <si>
    <t>Chiapas-UPE Comitan</t>
  </si>
  <si>
    <t>4531</t>
  </si>
  <si>
    <t>007-301-10</t>
  </si>
  <si>
    <t>007_301_10_UPE_Comitan</t>
  </si>
  <si>
    <t>UPE Comitan</t>
  </si>
  <si>
    <t>Central Oriente No. 19 Col. Centro</t>
  </si>
  <si>
    <t>Estado de Mexico-UPE Ecatepec</t>
  </si>
  <si>
    <t>2436</t>
  </si>
  <si>
    <t>015-301-09</t>
  </si>
  <si>
    <t>015_301_09_UPE_Ecatepec</t>
  </si>
  <si>
    <t>UPE Ecatepec</t>
  </si>
  <si>
    <t>Isabel la Catolica SN Esq. Agricultura Col. El Calvario</t>
  </si>
  <si>
    <t>CDMX-UPE Eugenia</t>
  </si>
  <si>
    <t>2419</t>
  </si>
  <si>
    <t>_UPE_Eugenia</t>
  </si>
  <si>
    <t>UPE Eugenia</t>
  </si>
  <si>
    <t>Av. Eugenia No. 197 Col. Narvarte</t>
  </si>
  <si>
    <t>Durango-UPE Gomez Palacio Durango</t>
  </si>
  <si>
    <t>2165</t>
  </si>
  <si>
    <t>010-301-09</t>
  </si>
  <si>
    <t>010_301_09_UPE_Gomez_Palacio_Durango</t>
  </si>
  <si>
    <t>UPE Gomez Palacio Durango</t>
  </si>
  <si>
    <t>Guanajuato-UPE Guanajuato</t>
  </si>
  <si>
    <t>2835</t>
  </si>
  <si>
    <t>011-301-09</t>
  </si>
  <si>
    <t>011_301_09_UPE_Guanajuato</t>
  </si>
  <si>
    <t>UPE Guanajuato</t>
  </si>
  <si>
    <t>Sopena No. 1 Col. Centro</t>
  </si>
  <si>
    <t>Guanajuato-UPE Irapuato</t>
  </si>
  <si>
    <t>2190</t>
  </si>
  <si>
    <t>011-301-10</t>
  </si>
  <si>
    <t>011_301_10_UPE_Irapuato</t>
  </si>
  <si>
    <t>UPE Irapuato</t>
  </si>
  <si>
    <t>Jose Becerril 146 Col. Fracc Jardines del Valle</t>
  </si>
  <si>
    <t>Guanajuato-UPE Leon</t>
  </si>
  <si>
    <t>2459</t>
  </si>
  <si>
    <t>011-301-11</t>
  </si>
  <si>
    <t>011_301_11_UPE_Leon</t>
  </si>
  <si>
    <t>UPE Leon</t>
  </si>
  <si>
    <t>Blvd. Gonzalez Bocanegra No. 11 Lote 4 entre Coatepec y Blvd Francisco Villa Col. Azteca</t>
  </si>
  <si>
    <t>Tamaulipas-UPE Matamoros</t>
  </si>
  <si>
    <t>2492</t>
  </si>
  <si>
    <t>028-301-12</t>
  </si>
  <si>
    <t>028_301_12_UPE_Matamoros</t>
  </si>
  <si>
    <t>UPE Matamoros</t>
  </si>
  <si>
    <t>Canales y Jose Arrece SN Col. Lazaro Cardenas</t>
  </si>
  <si>
    <t>Coahuila-UPE Monclova</t>
  </si>
  <si>
    <t>2824</t>
  </si>
  <si>
    <t>005-301-09</t>
  </si>
  <si>
    <t>005_301_09_UPE_Monclova</t>
  </si>
  <si>
    <t>UPE Monclova</t>
  </si>
  <si>
    <t>Roble y Olivo 801 Col. Francisco y Madero Monclova Coahuila Col. Fovissste</t>
  </si>
  <si>
    <t>Tamaulipas-UPE Nuevo Laredo</t>
  </si>
  <si>
    <t>2302</t>
  </si>
  <si>
    <t>028-301-13</t>
  </si>
  <si>
    <t>028_301_13_UPE_Nuevo_Laredo</t>
  </si>
  <si>
    <t>UPE Nuevo Laredo</t>
  </si>
  <si>
    <t>Reynosa No. 1506 Col. Centro</t>
  </si>
  <si>
    <t>Veracruz-UPE Orizaba</t>
  </si>
  <si>
    <t>2878</t>
  </si>
  <si>
    <t>030-301-11</t>
  </si>
  <si>
    <t>030_301_11_UPE_Orizaba</t>
  </si>
  <si>
    <t>UPE Orizaba</t>
  </si>
  <si>
    <t>De las Gardenias SN Col. El Espinal</t>
  </si>
  <si>
    <t>CDMX-UPE Patriotismo</t>
  </si>
  <si>
    <t>2123</t>
  </si>
  <si>
    <t>_UPE_Patriotismo</t>
  </si>
  <si>
    <t>UPE Patriotismo</t>
  </si>
  <si>
    <t>Insurgentes No. 489 Col. Hipodromo Condesa</t>
  </si>
  <si>
    <t>CDMX-UPE Peluqueros</t>
  </si>
  <si>
    <t>2105</t>
  </si>
  <si>
    <t>_UPE_Peluqueros</t>
  </si>
  <si>
    <t>UPE Peluqueros</t>
  </si>
  <si>
    <t>Av. Peluqueros SN Esq. Tizayuca Col. Michoacana</t>
  </si>
  <si>
    <t>CDMX-UPE Revolucion</t>
  </si>
  <si>
    <t>2118</t>
  </si>
  <si>
    <t>093-301-03</t>
  </si>
  <si>
    <t>093_301_03_UPE_Revolucion</t>
  </si>
  <si>
    <t>UPE Revolucion</t>
  </si>
  <si>
    <t>Melchor Ocampo No. 293 Col. Santa Catarina</t>
  </si>
  <si>
    <t>04010</t>
  </si>
  <si>
    <t>Coahuila-UPE Saltillo Coah</t>
  </si>
  <si>
    <t>2079</t>
  </si>
  <si>
    <t>_UPE_Saltillo_Coah</t>
  </si>
  <si>
    <t>UPE Saltillo Coah</t>
  </si>
  <si>
    <t>Chiapas-UPE San Cristobal de las Casas</t>
  </si>
  <si>
    <t>2932</t>
  </si>
  <si>
    <t>007-301-11</t>
  </si>
  <si>
    <t>007_301_11_UPE_San_Cristobal_de_las_Casas</t>
  </si>
  <si>
    <t>UPE San Cristobal de las Casas</t>
  </si>
  <si>
    <t>Ignacio Ramirez SN Col. Barrio de San Diego</t>
  </si>
  <si>
    <t>Baja California-UPE Tijuana</t>
  </si>
  <si>
    <t>2072</t>
  </si>
  <si>
    <t>002-301-04</t>
  </si>
  <si>
    <t>002_301_04_UPE_Tijuana</t>
  </si>
  <si>
    <t>UPE Tijuana</t>
  </si>
  <si>
    <t>Av. de Las Palmas No. 1 Col. Fracc. Las Palmas</t>
  </si>
  <si>
    <t>Estado de Mexico-UPE Tlalnepantla</t>
  </si>
  <si>
    <t>2174</t>
  </si>
  <si>
    <t>015-301-10</t>
  </si>
  <si>
    <t>015_301_10_UPE_Tlalnepantla</t>
  </si>
  <si>
    <t>UPE Tlalnepantla</t>
  </si>
  <si>
    <t>Av. Chilpancingo Esq. Jalpa SN Col. Valle Ceylan</t>
  </si>
  <si>
    <t>Coahuila-UPE Torreon</t>
  </si>
  <si>
    <t>2084</t>
  </si>
  <si>
    <t>005-301-10</t>
  </si>
  <si>
    <t>005_301_10_UPE_Torreon</t>
  </si>
  <si>
    <t>UPE Torreon</t>
  </si>
  <si>
    <t>Francisco I. Madero No 110 Norte Col. Centro</t>
  </si>
  <si>
    <t>Veracruz-UPE Tuxpan</t>
  </si>
  <si>
    <t>3388</t>
  </si>
  <si>
    <t>030-301-12</t>
  </si>
  <si>
    <t>030_301_12_UPE_Tuxpan</t>
  </si>
  <si>
    <t>UPE Tuxpan</t>
  </si>
  <si>
    <t>5 de Mayo No. 43 Col. Zapote Gordo</t>
  </si>
  <si>
    <t>CDMX-UPE Universidad</t>
  </si>
  <si>
    <t>2141</t>
  </si>
  <si>
    <t>093_301_10_UPE_Universidad</t>
  </si>
  <si>
    <t>UPE Universidad</t>
  </si>
  <si>
    <t>Av. Universidad No. 3000 Col. Copilco</t>
  </si>
  <si>
    <t>04360</t>
  </si>
  <si>
    <t>CDMX-Velatorio No 1 San Fernando</t>
  </si>
  <si>
    <t>2148</t>
  </si>
  <si>
    <t>093-304-70</t>
  </si>
  <si>
    <t>093_304_70_Velatorio_No_1_San_Fernando</t>
  </si>
  <si>
    <t>VEL</t>
  </si>
  <si>
    <t>Velatorio No 1 San Fernando</t>
  </si>
  <si>
    <t>San Fernando No. 517 Col. Toriello Guerra</t>
  </si>
  <si>
    <t>CDMX-Velatorio No 2 Solidaridad Issste M Schutlz</t>
  </si>
  <si>
    <t>2102</t>
  </si>
  <si>
    <t>091-304-71</t>
  </si>
  <si>
    <t>091_304_71_Velatorio_No_2_Solidaridad_Issste_M_Schutlz</t>
  </si>
  <si>
    <t>Velatorio No 2 Solidaridad Issste M Schutlz</t>
  </si>
  <si>
    <t>Miguel M. Schultz No. 124 Col. San Rafael</t>
  </si>
  <si>
    <t>Jalisco-Velatorio No 3 Alianza Popular Guadalajara</t>
  </si>
  <si>
    <t>2201</t>
  </si>
  <si>
    <t>014-304-70</t>
  </si>
  <si>
    <t>014_304_70_Velatorio_No_3_Alianza_Popular_Guadalajara</t>
  </si>
  <si>
    <t>Velatorio No 3 Alianza Popular Guadalajara</t>
  </si>
  <si>
    <t>Av. Francisco Javier Mina No. 3010 Col. San Andres</t>
  </si>
  <si>
    <t>Estado de Mexico-Velatorio No 4 Parque Memorial Naucalpan</t>
  </si>
  <si>
    <t>2450</t>
  </si>
  <si>
    <t>015-304-70</t>
  </si>
  <si>
    <t>015_304_70_Velatorio_No_4_Parque_Memorial_Naucalpan</t>
  </si>
  <si>
    <t>Velatorio No 4 Parque Memorial Naucalpan</t>
  </si>
  <si>
    <t>Av. de Los Arcos No. 1010 Col. Vista del Valle</t>
  </si>
  <si>
    <t>Nuevo Leon-Velatorio No 5 Monterrey</t>
  </si>
  <si>
    <t>2233</t>
  </si>
  <si>
    <t>019-304-70</t>
  </si>
  <si>
    <t>019_304_70_Velatorio_No_5_Monterrey</t>
  </si>
  <si>
    <t>Velatorio No 5 Monterrey</t>
  </si>
  <si>
    <t>Av. Fidel Velazquez No. 536 Col. Nueva Morelos</t>
  </si>
  <si>
    <t>CDMX-Velatorio No 6 Revolucion</t>
  </si>
  <si>
    <t>2122</t>
  </si>
  <si>
    <t>094-304-70</t>
  </si>
  <si>
    <t>094_304_70_Velatorio_No_6_Revolucion</t>
  </si>
  <si>
    <t>Velatorio No 6 Revolucion</t>
  </si>
  <si>
    <t>Av. Revolucion No. 770 Col. San Juan Mixcoac</t>
  </si>
  <si>
    <t>03910</t>
  </si>
  <si>
    <t>Estado de Mexico-Velatorio No 7 Toluca</t>
  </si>
  <si>
    <t>2177</t>
  </si>
  <si>
    <t>015-304-74</t>
  </si>
  <si>
    <t>015_304_74_Velatorio_No_7_Toluca</t>
  </si>
  <si>
    <t>Velatorio No 7 Toluca</t>
  </si>
  <si>
    <t>Av. Heriberto Enrique SN Col. Azteca</t>
  </si>
  <si>
    <t>ENTIDAD_FEDERATIVA</t>
  </si>
  <si>
    <t>CARGO_AUTORIZO</t>
  </si>
  <si>
    <t>CARGO_EMPLEADO</t>
  </si>
  <si>
    <t>AREA_ADSCRIPCION</t>
  </si>
  <si>
    <t>OFICINA</t>
  </si>
  <si>
    <t>CENTRO_TRABAJO</t>
  </si>
  <si>
    <t>Director</t>
  </si>
  <si>
    <t>Administrador de Velatorio A</t>
  </si>
  <si>
    <t>Abarrotes</t>
  </si>
  <si>
    <t>Directora</t>
  </si>
  <si>
    <t>Administrador de Velatorio B</t>
  </si>
  <si>
    <t>Abastecimiento y Servicios Generales</t>
  </si>
  <si>
    <t>Subdirector</t>
  </si>
  <si>
    <t>Administrativo Especializado</t>
  </si>
  <si>
    <t>Activo Fijo</t>
  </si>
  <si>
    <t>Subdirectora</t>
  </si>
  <si>
    <t>Administrativo General</t>
  </si>
  <si>
    <t>Activo Fijo e Inventarios</t>
  </si>
  <si>
    <t>Coordinador</t>
  </si>
  <si>
    <t>Analista Administrativo</t>
  </si>
  <si>
    <t>Administracion</t>
  </si>
  <si>
    <t>Coordinadora</t>
  </si>
  <si>
    <t>Analista Control de Expedientes</t>
  </si>
  <si>
    <t>Administracion Agencia TURISSSTE</t>
  </si>
  <si>
    <t>Subcoordinador</t>
  </si>
  <si>
    <t>Analista de Control A</t>
  </si>
  <si>
    <t>Administracion ISSSTEHUIXTLA</t>
  </si>
  <si>
    <t>Subcoordinadora</t>
  </si>
  <si>
    <t>Analista de Control B</t>
  </si>
  <si>
    <t>Administracion Velatorio Cementerio y Panteon</t>
  </si>
  <si>
    <t>Tesorero</t>
  </si>
  <si>
    <t>Analista de Control C</t>
  </si>
  <si>
    <t>Admision Continua Adultos</t>
  </si>
  <si>
    <t>Tesorera</t>
  </si>
  <si>
    <t>Analista de Proyectos</t>
  </si>
  <si>
    <t>Admision Continua Pediatrica</t>
  </si>
  <si>
    <t>Subdelegado</t>
  </si>
  <si>
    <t>Analista Ejecutivo en Proyectos</t>
  </si>
  <si>
    <t>Fondo Nacional de Pensiones de los Trabajadores al Servicio del Estado</t>
  </si>
  <si>
    <t>Admision Hospitalaria</t>
  </si>
  <si>
    <t>Subdelegada</t>
  </si>
  <si>
    <t>Analista Especializado</t>
  </si>
  <si>
    <t>Admision y Egresos</t>
  </si>
  <si>
    <t>Titular de la Unidad</t>
  </si>
  <si>
    <t>Analista UEAP B</t>
  </si>
  <si>
    <t>Alergia</t>
  </si>
  <si>
    <t>Jefe de Servicios</t>
  </si>
  <si>
    <t>Apoyo Administrativo en Salud A1</t>
  </si>
  <si>
    <t>Alergologia</t>
  </si>
  <si>
    <t>Jefa de Servicios</t>
  </si>
  <si>
    <t>Apoyo Administrativo en Salud A2</t>
  </si>
  <si>
    <t>HAE Dr M Cardenas de la Vega Culiacan</t>
  </si>
  <si>
    <t>Alimentacion</t>
  </si>
  <si>
    <t>Jefe de Unidad</t>
  </si>
  <si>
    <t>Apoyo Administrativo en Salud A3</t>
  </si>
  <si>
    <t>Almacen</t>
  </si>
  <si>
    <t>Jefa de Unidad</t>
  </si>
  <si>
    <t>Apoyo Administrativo en Salud A4</t>
  </si>
  <si>
    <t>Almacen General</t>
  </si>
  <si>
    <t>Jefe de Departamento</t>
  </si>
  <si>
    <t>Apoyo Administrativo en Salud A5</t>
  </si>
  <si>
    <t>Almacen y Viveres</t>
  </si>
  <si>
    <t>Jefa de Departamento</t>
  </si>
  <si>
    <t>Apoyo Administrativo en Salud A6</t>
  </si>
  <si>
    <t>Anatomia Patologica</t>
  </si>
  <si>
    <t>Apoyo Administrativo en Salud A7</t>
  </si>
  <si>
    <t>Anestesiologia</t>
  </si>
  <si>
    <t>Apoyo Administrativo en Salud A8</t>
  </si>
  <si>
    <t>Angiologia</t>
  </si>
  <si>
    <t>Asistente Administrativo A</t>
  </si>
  <si>
    <t>Angiologia y Cirugia Vascular</t>
  </si>
  <si>
    <t>Asistente Administrativo B</t>
  </si>
  <si>
    <t>Area de Analisis de Procesos Informaticos</t>
  </si>
  <si>
    <t>Asistente Administrativo C</t>
  </si>
  <si>
    <t>Apoyo Artesanos</t>
  </si>
  <si>
    <t>Asistente Administrativo D</t>
  </si>
  <si>
    <t>Apoyo y Medios Educativos</t>
  </si>
  <si>
    <t>Asistente Administrativo en Salud A1</t>
  </si>
  <si>
    <t>Archivo Clinico</t>
  </si>
  <si>
    <t>Asistente Administrativo en Salud A2</t>
  </si>
  <si>
    <t>Archivo y Correspondencia</t>
  </si>
  <si>
    <t>Asistente Administrativo en Salud A3</t>
  </si>
  <si>
    <t>Area Auditoria para el Desarrollo y Mejora de la Gestion</t>
  </si>
  <si>
    <t>Asistente Administrativo en Salud A4</t>
  </si>
  <si>
    <t>Area de Administracion de Base de Datos</t>
  </si>
  <si>
    <t>Asistente Administrativo en Salud A5</t>
  </si>
  <si>
    <t>Representacion Estatal Baja California</t>
  </si>
  <si>
    <t>Area de Administracion de Sistema</t>
  </si>
  <si>
    <t>Asistente Administrativo en Salud A6</t>
  </si>
  <si>
    <t>Area de Amparos</t>
  </si>
  <si>
    <t>Asistente Administrativo en Salud A7</t>
  </si>
  <si>
    <t>Area de Analisis</t>
  </si>
  <si>
    <t>Asistente Administrativo en Salud A8</t>
  </si>
  <si>
    <t>Area de Analisis de Inversiones</t>
  </si>
  <si>
    <t>Asistente A de la Direccion de Hospital</t>
  </si>
  <si>
    <t>Area de Analisis de Mercado</t>
  </si>
  <si>
    <t>Asistente de Cocina en Unidad Hospitalaria</t>
  </si>
  <si>
    <t>Area de Analisis de Procesos de Traspasos de Afore</t>
  </si>
  <si>
    <t>Asistente de la Direccion de Hospital</t>
  </si>
  <si>
    <t>Area de Analisis de Procesos Financieros de Afore</t>
  </si>
  <si>
    <t>Auxiliar Administrador</t>
  </si>
  <si>
    <t>Area de Analisis de Registros de Afore</t>
  </si>
  <si>
    <t>Auxiliar Administrativo</t>
  </si>
  <si>
    <t>Area de Analisis Fiscal</t>
  </si>
  <si>
    <t>Auxiliar Contabilidad</t>
  </si>
  <si>
    <t>Area de Analisis Operativa Administrativa y Financiera</t>
  </si>
  <si>
    <t>Auxiliar Contable</t>
  </si>
  <si>
    <t>Area de Analisis y Liquidacion de Operaciones</t>
  </si>
  <si>
    <t>Auxiliar de Admision</t>
  </si>
  <si>
    <t>Area de Apoyo</t>
  </si>
  <si>
    <t>Auxiliar de Almacen</t>
  </si>
  <si>
    <t>Area de Archivo y Control Documental</t>
  </si>
  <si>
    <t>Auxiliar de Caja</t>
  </si>
  <si>
    <t>Representacion Estatal Michoacan</t>
  </si>
  <si>
    <t>Area de Asuntos Legales de Organos de Gobierno y Colegiados</t>
  </si>
  <si>
    <t>Auxiliar de Cajero</t>
  </si>
  <si>
    <t>Area de Asuntos Legales de Sociedades de Inversion</t>
  </si>
  <si>
    <t>Auxiliar de Enfermeria A</t>
  </si>
  <si>
    <t>Area de Atencion de Asuntos Institucionales</t>
  </si>
  <si>
    <t>Auxiliar de Enfermeria B</t>
  </si>
  <si>
    <t>Area de Atencion a Dependencias y Entidades</t>
  </si>
  <si>
    <t>Auxiliar de Estadistica y Archivo Clinico</t>
  </si>
  <si>
    <t>Area de Auditoria Interna</t>
  </si>
  <si>
    <t>Auxiliar de Laboratorio y/o Bioterio A</t>
  </si>
  <si>
    <t>Area de Auditoria Interna y Area Quejas en Delegacion</t>
  </si>
  <si>
    <t>Auxiliar de Laboratorio y/o Bioterio B</t>
  </si>
  <si>
    <t>Area de Capacitacion</t>
  </si>
  <si>
    <t>Auxiliar en Administracion</t>
  </si>
  <si>
    <t>Area de Conciliacion</t>
  </si>
  <si>
    <t>Auxiliar en Piso de Venta</t>
  </si>
  <si>
    <t>Area de Contratos Licitaciones y Poderes</t>
  </si>
  <si>
    <t>Auxiliar en Sistemas</t>
  </si>
  <si>
    <t>Area de Control de Gastos</t>
  </si>
  <si>
    <t>Auxiliar Juridico A</t>
  </si>
  <si>
    <t>Area de Control de Nomina y Prestaciones</t>
  </si>
  <si>
    <t>Auxiliar Juridico B</t>
  </si>
  <si>
    <t>Area de Coordinacion Estatal</t>
  </si>
  <si>
    <t>Auxiliar Logistico A</t>
  </si>
  <si>
    <t>Area de Desarrollo</t>
  </si>
  <si>
    <t>Auxiliar Logistico B</t>
  </si>
  <si>
    <t>Representacion Estatal Tlaxcala</t>
  </si>
  <si>
    <t>Area de Derivados</t>
  </si>
  <si>
    <t>Auxiliar Tecnico de Diagnostico y/o Tratamiento</t>
  </si>
  <si>
    <t>Area de Diseno y Contenidos</t>
  </si>
  <si>
    <t>Biologo A</t>
  </si>
  <si>
    <t>Representacion Estatal Yucatan</t>
  </si>
  <si>
    <t>Area de Elaboracion y Analisis de Estados Financieros</t>
  </si>
  <si>
    <t>Biologo B</t>
  </si>
  <si>
    <t>Area de Estrategia de Medios</t>
  </si>
  <si>
    <t>Biologo C</t>
  </si>
  <si>
    <t>Area de Integracion</t>
  </si>
  <si>
    <t>Cajero General</t>
  </si>
  <si>
    <t>Area de Integracion y Envio de Archivos Electronicos</t>
  </si>
  <si>
    <t>Cajero General Centro Comercial</t>
  </si>
  <si>
    <t>Area de Mantenimiento</t>
  </si>
  <si>
    <t>Cajero General Semicentro Comercial</t>
  </si>
  <si>
    <t>Area de Organizacion y Metodos</t>
  </si>
  <si>
    <t>Camillero</t>
  </si>
  <si>
    <t>Secretaria General</t>
  </si>
  <si>
    <t>Area de Presupuesto</t>
  </si>
  <si>
    <t>Capturista</t>
  </si>
  <si>
    <t>Area de Procedimientos Contencioso Administrativos</t>
  </si>
  <si>
    <t>Chofer</t>
  </si>
  <si>
    <t>Area de Procedimientos Laborales</t>
  </si>
  <si>
    <t>Chofer de Jefe de Servicios</t>
  </si>
  <si>
    <t>Area de Procesos de Informacion</t>
  </si>
  <si>
    <t>Chofer de Subdirector de Area</t>
  </si>
  <si>
    <t>Area de Quejas</t>
  </si>
  <si>
    <t>Cirujano Dentista A</t>
  </si>
  <si>
    <t>Area de Recaudacion</t>
  </si>
  <si>
    <t>Cirujano Dentista B</t>
  </si>
  <si>
    <t>Area de Recepcion</t>
  </si>
  <si>
    <t>Cirujano Dentista C</t>
  </si>
  <si>
    <t>Area de Reclutamiento</t>
  </si>
  <si>
    <t>Cirujano Dentista Especializado</t>
  </si>
  <si>
    <t>Area de Recursos Legales</t>
  </si>
  <si>
    <t>Citotecnologo A</t>
  </si>
  <si>
    <t>Area de Recursos Materiales Adquisiciones</t>
  </si>
  <si>
    <t>Citotecnologo B</t>
  </si>
  <si>
    <t>Area de Registro</t>
  </si>
  <si>
    <t>Cocinero en Centro Hospitalario</t>
  </si>
  <si>
    <t>Area de Registro Contable de PENSIONISSSTE</t>
  </si>
  <si>
    <t>Contralor General ISSSTE</t>
  </si>
  <si>
    <t>Area de Registro Contable de Siefores</t>
  </si>
  <si>
    <t>Contralor Normativo</t>
  </si>
  <si>
    <t>Area de Registro Contable Gubernamental</t>
  </si>
  <si>
    <t>Coordinador Administrativo</t>
  </si>
  <si>
    <t>Area de Registro y Asignacion de Valores</t>
  </si>
  <si>
    <t>Coordinadora Administrativa</t>
  </si>
  <si>
    <t>Area de Representacion del PENSIONISSSTE</t>
  </si>
  <si>
    <t>Coordinador Administrativo de Coordinador General</t>
  </si>
  <si>
    <t>Area de Responsabilidades</t>
  </si>
  <si>
    <t>Coordinadora Administrativa de Coordinador General</t>
  </si>
  <si>
    <t>Area de Retiros</t>
  </si>
  <si>
    <t>Coordinador Administrativo de Director General</t>
  </si>
  <si>
    <t>Area de Revision y Recepcion de Gasto</t>
  </si>
  <si>
    <t>Coordinadora Administrativa de Director General</t>
  </si>
  <si>
    <t>Area de Seguimiento</t>
  </si>
  <si>
    <t>Coordinador Administrativo de Secretario General</t>
  </si>
  <si>
    <t>Area de Seguridad de Redes</t>
  </si>
  <si>
    <t>Coordinadora Administrativa de Secretario General</t>
  </si>
  <si>
    <t>Area de Servicios Generales</t>
  </si>
  <si>
    <t>Coordinador Administrativo de Subdirector General</t>
  </si>
  <si>
    <t>Area de Soporte Tecnico</t>
  </si>
  <si>
    <t>Coordinadora Administrativa de Subdirector General</t>
  </si>
  <si>
    <t>Area de Subtesoreria de PENSIONISSSTE</t>
  </si>
  <si>
    <t>Coordinador Administrativo HAE</t>
  </si>
  <si>
    <t>Area de Subtesoreria de Siefores</t>
  </si>
  <si>
    <t>Coordinadora Administrativa HAE</t>
  </si>
  <si>
    <t>Area de Telefonia</t>
  </si>
  <si>
    <t>Coordinador de Apoyo Medico CH</t>
  </si>
  <si>
    <t>Area de Transparencia y Acceso a la Informacion Publica Gubernamental</t>
  </si>
  <si>
    <t>Coordinadora de Apoyo Medico CH</t>
  </si>
  <si>
    <t>Area de Unificacion y Traspasos</t>
  </si>
  <si>
    <t>Coordinador de Apoyo Medico HG</t>
  </si>
  <si>
    <t>Asistencia</t>
  </si>
  <si>
    <t>Coordinadora de Apoyo Medico HG</t>
  </si>
  <si>
    <t>Asistencia de la Direccion</t>
  </si>
  <si>
    <t>Coordinador de Apoyo Medico HAE</t>
  </si>
  <si>
    <t>Asistentes de la Direccion</t>
  </si>
  <si>
    <t>Coordinadora de Apoyo Medico HAE</t>
  </si>
  <si>
    <t>Atencion al Derechohabiente</t>
  </si>
  <si>
    <t>Coordinador de Asesores de Director General</t>
  </si>
  <si>
    <t>Audiovisual</t>
  </si>
  <si>
    <t>Coordinadora de Asesores de Director General</t>
  </si>
  <si>
    <t>Banco de Sangre</t>
  </si>
  <si>
    <t>Coordinador de Logistica de la Direccion General</t>
  </si>
  <si>
    <t>Biblioteca</t>
  </si>
  <si>
    <t>Coordinadora de Logistica de la Direccion General</t>
  </si>
  <si>
    <t>Bioterio</t>
  </si>
  <si>
    <t>Coordinador de Recursos</t>
  </si>
  <si>
    <t>CA  Incidencias y Prestaciones</t>
  </si>
  <si>
    <t>Coordinadora de Recursos</t>
  </si>
  <si>
    <t>CA  Ingenieria Biomedica Mantto</t>
  </si>
  <si>
    <t>Coordinador de Recursos en Unidad Medica CH</t>
  </si>
  <si>
    <t>CA de Administracion de Sistemas</t>
  </si>
  <si>
    <t>Coordinadora de Recursos en Unidad Medica CH</t>
  </si>
  <si>
    <t>CA de Asuntos Juridicos</t>
  </si>
  <si>
    <t>Coordinador de Recursos en Unidad Medica HG</t>
  </si>
  <si>
    <t>CA de Operacion y Pagos</t>
  </si>
  <si>
    <t>Coordinadora de Recursos en Unidad Medica HG</t>
  </si>
  <si>
    <t>CA de Produccion Informatica</t>
  </si>
  <si>
    <t>Coordinador de Recursos en Unidad Medica HAE</t>
  </si>
  <si>
    <t>CA de Registros Hospitalarios</t>
  </si>
  <si>
    <t>Coordinadora de Recursos en Unidad Medica HAE</t>
  </si>
  <si>
    <t>CA de Soporte Tecnico</t>
  </si>
  <si>
    <t>Coordinador de Servicios Medicos CH</t>
  </si>
  <si>
    <t>CA Proceso de Infor y Nom</t>
  </si>
  <si>
    <t>Coordinadora de Servicios Medicos CH</t>
  </si>
  <si>
    <t>CA Recursos Financieros</t>
  </si>
  <si>
    <t>Coordinador de Servicios Medicos HG</t>
  </si>
  <si>
    <t>CA Recursos Materiales</t>
  </si>
  <si>
    <t>Coordinadora de Servicios Medicos HG</t>
  </si>
  <si>
    <t>CA Servicios Generales</t>
  </si>
  <si>
    <t>Coordinador de Servicios Medicos HAE</t>
  </si>
  <si>
    <t>Coordinadora de Servicios Medicos HAE</t>
  </si>
  <si>
    <t>Coordinador Medico en Area Normativa A</t>
  </si>
  <si>
    <t>Coordinadora Medico en Area Normativa A</t>
  </si>
  <si>
    <t>Coordinador Medico en Area Normativa C</t>
  </si>
  <si>
    <t>Caja</t>
  </si>
  <si>
    <t>Coordinadora Medico en Area Normativa C</t>
  </si>
  <si>
    <t>Caja General</t>
  </si>
  <si>
    <t>Coordinador Medico HAE</t>
  </si>
  <si>
    <t>Cajas</t>
  </si>
  <si>
    <t>Coordinadora Medico HAE</t>
  </si>
  <si>
    <t>Camas en Transito Urgencias</t>
  </si>
  <si>
    <t>Coordinador Paramedico en Area Normativa C</t>
  </si>
  <si>
    <t>Camilleros</t>
  </si>
  <si>
    <t>Coordinadora Paramedico en Area Normativa C</t>
  </si>
  <si>
    <t>Capacitacion Desarrollo Reclutacion y Seleccion</t>
  </si>
  <si>
    <t>Dietista</t>
  </si>
  <si>
    <t>Cardiologia</t>
  </si>
  <si>
    <t>Director CMN 20 de Noviembre</t>
  </si>
  <si>
    <t>Cardiologia Pediatrica</t>
  </si>
  <si>
    <t>Directora CMN 20 de Noviembre</t>
  </si>
  <si>
    <t>Central de Equipos y Esterilizacion</t>
  </si>
  <si>
    <t>Director de CH A</t>
  </si>
  <si>
    <t>Centro Cultural</t>
  </si>
  <si>
    <t>Directora de CH A</t>
  </si>
  <si>
    <t>Centro de Cirugia Simplificada</t>
  </si>
  <si>
    <t>Director de CH B</t>
  </si>
  <si>
    <t>Centro de Convivencia para Pensionados y Jubilados Convive</t>
  </si>
  <si>
    <t>Directora de CH B</t>
  </si>
  <si>
    <t>CEYE</t>
  </si>
  <si>
    <t>Director de CMF A</t>
  </si>
  <si>
    <t>CI Neonatologia</t>
  </si>
  <si>
    <t>Directora de CMF A</t>
  </si>
  <si>
    <t>Cirugia Bucodentomaxilar</t>
  </si>
  <si>
    <t>Director de CMF B</t>
  </si>
  <si>
    <t>Cirugia Cardiovascular</t>
  </si>
  <si>
    <t>Directora de CMF B</t>
  </si>
  <si>
    <t>Cirugia del Torax</t>
  </si>
  <si>
    <t>Director de HG A</t>
  </si>
  <si>
    <t>Cirugia Experimental</t>
  </si>
  <si>
    <t>Directora de HG A</t>
  </si>
  <si>
    <t>Cirugia Gastroenterologica</t>
  </si>
  <si>
    <t>Director de HG B</t>
  </si>
  <si>
    <t>Cirugia General</t>
  </si>
  <si>
    <t>Directora de HG B</t>
  </si>
  <si>
    <t>Cirugia Maxilofacial</t>
  </si>
  <si>
    <t>Director de HAE</t>
  </si>
  <si>
    <t>Cirugia Pediatria</t>
  </si>
  <si>
    <t>Directora de HAE</t>
  </si>
  <si>
    <t>Cirugia Pediatrica</t>
  </si>
  <si>
    <t>Director General ISSSTE</t>
  </si>
  <si>
    <t>Cirugia Reconstructiva</t>
  </si>
  <si>
    <t>Directora General ISSSTE</t>
  </si>
  <si>
    <t>Citologia</t>
  </si>
  <si>
    <t>Director ISSSTE A</t>
  </si>
  <si>
    <t>Clinica del Dolor</t>
  </si>
  <si>
    <t>Directora ISSSTE A</t>
  </si>
  <si>
    <t>Cocina Central</t>
  </si>
  <si>
    <t>Director ISSSTE B</t>
  </si>
  <si>
    <t>Colposcopia Enfermeras</t>
  </si>
  <si>
    <t>Directora ISSSTE B</t>
  </si>
  <si>
    <t>Compras</t>
  </si>
  <si>
    <t>Director de Escuela de Dietetica y Nutricion</t>
  </si>
  <si>
    <t>Comunicaciones Electronicas</t>
  </si>
  <si>
    <t>Directora de Escuela de Dietetica y Nutricion</t>
  </si>
  <si>
    <t>Consulta Externa</t>
  </si>
  <si>
    <t>Director de Estancia Infantil A</t>
  </si>
  <si>
    <t>Consultorio Medico en Centro de Trabajo Cmct</t>
  </si>
  <si>
    <t>Directora de Estancia Infantil A</t>
  </si>
  <si>
    <t>Contabilidad</t>
  </si>
  <si>
    <t>Director de Estancia Infantil B</t>
  </si>
  <si>
    <t>Contraloria Normativa</t>
  </si>
  <si>
    <t>Directora de Estancia Infantil B</t>
  </si>
  <si>
    <t>Control de Pacientes</t>
  </si>
  <si>
    <t>Ejecutiva de Atencion B</t>
  </si>
  <si>
    <t>Control de Personal</t>
  </si>
  <si>
    <t>Ejecutivo de Atencion B</t>
  </si>
  <si>
    <t>Control de Programas</t>
  </si>
  <si>
    <t>Enfermera Especialista A</t>
  </si>
  <si>
    <t>Control Presupuestal</t>
  </si>
  <si>
    <t>Enfermero Especialista A</t>
  </si>
  <si>
    <t>Control Presupuestal y Contabilidad</t>
  </si>
  <si>
    <t>Enfermera Especialista B</t>
  </si>
  <si>
    <t>Coordinacion Administrativa</t>
  </si>
  <si>
    <t>Enfermero Especialista B</t>
  </si>
  <si>
    <t>Coordinacion Apoyo a los Servicios Medicos</t>
  </si>
  <si>
    <t>Enfermera Especialista C</t>
  </si>
  <si>
    <t>Coordinacion Archivo Clinico y Vigencia Derechos</t>
  </si>
  <si>
    <t>Enfermero Especialista C</t>
  </si>
  <si>
    <t>Coordinacion Area Tecnica Vigencia y Archivo</t>
  </si>
  <si>
    <t>Enfermera General Tecnica</t>
  </si>
  <si>
    <t>Coordinacion Atencion al Derechohabiente</t>
  </si>
  <si>
    <t>Enfermero General Tecnico</t>
  </si>
  <si>
    <t>Coordinacion Atencion Quirurgica</t>
  </si>
  <si>
    <t>Enfermera General Titulada A</t>
  </si>
  <si>
    <t>Coordinacion Auxiliares de Diagnosticos y Tratamiento</t>
  </si>
  <si>
    <t>Enfermero General Titulado A</t>
  </si>
  <si>
    <t>Coordinacion de Asesores</t>
  </si>
  <si>
    <t>Enfermera General Titulada B</t>
  </si>
  <si>
    <t>Coordinacion de Asuntos Juridicos</t>
  </si>
  <si>
    <t>Enfermero General Titulado B</t>
  </si>
  <si>
    <t>Coordinacion de Atencion al Derechohabiente</t>
  </si>
  <si>
    <t>Enfermera General Titulada C</t>
  </si>
  <si>
    <t>Coordinacion de Atencion Medica</t>
  </si>
  <si>
    <t>Enfermero General Titulado C</t>
  </si>
  <si>
    <t>Coordinacion de Cardiologia y Cirugia Cardiovascular</t>
  </si>
  <si>
    <t>Enfermera Jefa de Servicio</t>
  </si>
  <si>
    <t>Coordinacion de Cirugia</t>
  </si>
  <si>
    <t>Enfermero Jefe de Servicio</t>
  </si>
  <si>
    <t>Coordinacion de Enfermeria</t>
  </si>
  <si>
    <t>Especialista Tecnico</t>
  </si>
  <si>
    <t>Coordinacion de Enlace Hospitalario</t>
  </si>
  <si>
    <t>Fisico en Hospital</t>
  </si>
  <si>
    <t>Coordinacion de Ensenanza e Investigacion</t>
  </si>
  <si>
    <t>Honorario</t>
  </si>
  <si>
    <t>Coordinacion de GinecoObstetricia</t>
  </si>
  <si>
    <t>Ingeniero Biomedico</t>
  </si>
  <si>
    <t>Coordinacion de Informatica</t>
  </si>
  <si>
    <t>Inhaloterapeuta</t>
  </si>
  <si>
    <t>Coordinacion de Ingenieria Biomedica y Mantenimiento</t>
  </si>
  <si>
    <t>Jefe Caja Centro Comercial</t>
  </si>
  <si>
    <t>Coordinacion de Mantenimiento</t>
  </si>
  <si>
    <t>Jefa Caja Centro Comercial</t>
  </si>
  <si>
    <t>Coordinacion de Medicina Critica de Adultos</t>
  </si>
  <si>
    <t>Jefe Caja Unidad Comercial</t>
  </si>
  <si>
    <t>Coordinacion de Medicina Interna</t>
  </si>
  <si>
    <t>Jefa Caja Unidad Comercial</t>
  </si>
  <si>
    <t>Coordinacion de Medicina Preventiva</t>
  </si>
  <si>
    <t>Jefe Cont Centro Comercial</t>
  </si>
  <si>
    <t>Coordinacion de Organos Internos de Control Delegaciones</t>
  </si>
  <si>
    <t>Jefa Cont Unidad Comercial</t>
  </si>
  <si>
    <t>Coordinacion de Pediatria</t>
  </si>
  <si>
    <t>Jefe de Admision</t>
  </si>
  <si>
    <t>Coordinacion de Planeacion y Estadistica</t>
  </si>
  <si>
    <t>Jefa de Admision</t>
  </si>
  <si>
    <t>Coordinacion de Recursos Financieros</t>
  </si>
  <si>
    <t>Jefe de Agencia Turistica TURISSSTE</t>
  </si>
  <si>
    <t>Coordinacion de Recursos Humanos</t>
  </si>
  <si>
    <t>Jefa de Agencia Turistica TURISSSTE</t>
  </si>
  <si>
    <t>Coordinacion de Recursos Humanos y Financieros</t>
  </si>
  <si>
    <t>Jefe de Analistas</t>
  </si>
  <si>
    <t>Coordinacion de Recursos Materiales</t>
  </si>
  <si>
    <t>Jefa de Analistas</t>
  </si>
  <si>
    <t>Coordinacion de Servicios a Derechohabientes</t>
  </si>
  <si>
    <t>Jefe de Area de Hospital</t>
  </si>
  <si>
    <t>Coordinacion de servicios de Medicina Interna</t>
  </si>
  <si>
    <t>Jefa de Area de Hospital</t>
  </si>
  <si>
    <t>Coordinacion de Servicios de Urgencias T</t>
  </si>
  <si>
    <t>Jefe de Cocina en Centro Hospitalario</t>
  </si>
  <si>
    <t>Coordinacion de Servicios de Urgencias y Terapia I</t>
  </si>
  <si>
    <t>Jefa de Cocina en Centro Hospitalario</t>
  </si>
  <si>
    <t>Coordinacion de Servicios Generales</t>
  </si>
  <si>
    <t>Jefe de Deparatamento PENSIONISSSTE C</t>
  </si>
  <si>
    <t>Coordinacion de Servicios Generales y Man</t>
  </si>
  <si>
    <t>Jefa de Deparatamento PENSIONISSSTE C</t>
  </si>
  <si>
    <t>Coordinacion de Servicios GinecoObstetricia</t>
  </si>
  <si>
    <t>Coordinacion Medica Aux del Trat</t>
  </si>
  <si>
    <t>Coordinacion Medica Consulta Externa</t>
  </si>
  <si>
    <t>Jefe de Departamento del ISSSTE Ambito Centralizado A</t>
  </si>
  <si>
    <t>Coordinacion Medica de Cardiocirugia</t>
  </si>
  <si>
    <t>Jefa de Departamento del ISSSTE Ambito Centralizado A</t>
  </si>
  <si>
    <t>Coordinacion Medica de Cirugia 1</t>
  </si>
  <si>
    <t>Jefe de Departamento del ISSSTE Ambito Centralizado B</t>
  </si>
  <si>
    <t>Coordinacion Medica de Cirugia 3</t>
  </si>
  <si>
    <t>Jefa de Departamento del ISSSTE Ambito Centralizado B</t>
  </si>
  <si>
    <t>Coordinacion Medica de Enfermeria</t>
  </si>
  <si>
    <t>Jefe de Departamento del ISSSTE Ambito Desconcentrado A</t>
  </si>
  <si>
    <t>Coordinacion Medica de Imagenologia</t>
  </si>
  <si>
    <t>Jefa de Departamento del ISSSTE Ambito Desconcentrado A</t>
  </si>
  <si>
    <t>Coordinacion Medica de Laboratorios</t>
  </si>
  <si>
    <t>Jefe de Departamento del ISSSTE Ambito Desconcentrado B</t>
  </si>
  <si>
    <t>Coordinacion Medica de Nutricion</t>
  </si>
  <si>
    <t>Jefa de Departamento del ISSSTE Ambito Desconcentrado B</t>
  </si>
  <si>
    <t>Coordinacion Medica de Trabajo Social</t>
  </si>
  <si>
    <t>Jefe de Departamento PENSIONISSSTE A</t>
  </si>
  <si>
    <t>Coordinacion Medica Educacion Continua</t>
  </si>
  <si>
    <t>Jefa de Departamento PENSIONISSSTE A</t>
  </si>
  <si>
    <t>Coordinacion Medica Investigacion Aplicada</t>
  </si>
  <si>
    <t>Jefe de Departamento PENSIONISSSTE D</t>
  </si>
  <si>
    <t>Coordinacion Medica Investigacion Biomedica</t>
  </si>
  <si>
    <t>Jefa de Departamento PENSIONISSSTE D</t>
  </si>
  <si>
    <t>Coordinacion Medica Medicina Critica</t>
  </si>
  <si>
    <t>Jefe de Dietologia</t>
  </si>
  <si>
    <t>Coordinacion Medica Medicina Especializada</t>
  </si>
  <si>
    <t>Jefa de Dietologia</t>
  </si>
  <si>
    <t>Coordinacion Medica Neurociencias</t>
  </si>
  <si>
    <t>Jefe de Enfermeras A</t>
  </si>
  <si>
    <t>Coordinacion Medica Padecimientos Neoplasicos</t>
  </si>
  <si>
    <t>Jefa de Enfermeras A</t>
  </si>
  <si>
    <t>Coordinacion Medica Transplantes</t>
  </si>
  <si>
    <t>Jefe de Enfermeras B</t>
  </si>
  <si>
    <t>Coordinacion Recursos Materiales y Servicios Generales</t>
  </si>
  <si>
    <t>Jefa de Enfermeras B</t>
  </si>
  <si>
    <t>Coordinacion Servicios Auxiliares Diagnostico y Tratamiento</t>
  </si>
  <si>
    <t>Jefe de Enfermeras C</t>
  </si>
  <si>
    <t>Coordinacion Servicios de Cirugia General</t>
  </si>
  <si>
    <t>Jefa de Enfermeras C</t>
  </si>
  <si>
    <t>Coordinacion Servicios de Pediatria</t>
  </si>
  <si>
    <t>Jefe de Enfermeras D</t>
  </si>
  <si>
    <t>Coordinacion Servicios Materiales y Servicios Generales</t>
  </si>
  <si>
    <t>Jefa de Enfermeras D</t>
  </si>
  <si>
    <t>Coordinacion Servicios Urgencias</t>
  </si>
  <si>
    <t>Jefe de Oficina</t>
  </si>
  <si>
    <t>Correspondencia y Archivo</t>
  </si>
  <si>
    <t>Jefa de Oficina</t>
  </si>
  <si>
    <t>Cuidados Intermedios</t>
  </si>
  <si>
    <t>Jefe de Oficina Laudo</t>
  </si>
  <si>
    <t>Cunero Normal</t>
  </si>
  <si>
    <t>Jefa de Oficina Laudo</t>
  </si>
  <si>
    <t>Cuneros</t>
  </si>
  <si>
    <t>Jefe de Operacion de Velatorio A</t>
  </si>
  <si>
    <t>Curaciones e Inyecciones</t>
  </si>
  <si>
    <t>Jefa de Operacion de Velatorio A</t>
  </si>
  <si>
    <t>Delegacion</t>
  </si>
  <si>
    <t>Jefe de Operacion de Velatorio B</t>
  </si>
  <si>
    <t>Departamento 1</t>
  </si>
  <si>
    <t>Jefa de Operacion de Velatorio B</t>
  </si>
  <si>
    <t>Departamento Accion Social Cultural y Deportiva</t>
  </si>
  <si>
    <t>Jefe de Recibo de Tienda</t>
  </si>
  <si>
    <t>Departamento Administracion de Vehiculos y Taller Mecanico</t>
  </si>
  <si>
    <t>Jefa de Recibo de Tienda</t>
  </si>
  <si>
    <t>Departamento Adquisicion de Equipo Medico e Importaciones</t>
  </si>
  <si>
    <t>Jefe de Seccion</t>
  </si>
  <si>
    <t>Departamento Adquisicion Enajenacion Bienes Inmuebles</t>
  </si>
  <si>
    <t>Jefa de Seccion</t>
  </si>
  <si>
    <t>Departamento Adquisiciones de Bienes de Consumo</t>
  </si>
  <si>
    <t>Jefe de Seccion Laudo</t>
  </si>
  <si>
    <t>Departamento Almacenaje y Distribucion Material Curacion</t>
  </si>
  <si>
    <t>Jefa de Seccion Laudo</t>
  </si>
  <si>
    <t>Departamento Almacenaje y Distribucion Medicamentos</t>
  </si>
  <si>
    <t>Jefe de Seccion Medica</t>
  </si>
  <si>
    <t>Departamento Almacenamiento Distribucion de Bienes Inventarios y Varios</t>
  </si>
  <si>
    <t>Jefa de Seccion Medica</t>
  </si>
  <si>
    <t>Departamento Almacenamiento y Distribucion de Alta Especialidad</t>
  </si>
  <si>
    <t>Departamento Almacenamiento y Distribucion Region Noreste</t>
  </si>
  <si>
    <t>Departamento Almacenamiento y Distribucion Region Sureste</t>
  </si>
  <si>
    <t>Jefe de Servicio ISSSTE Ambito Centralizado A</t>
  </si>
  <si>
    <t>Departamento Analisis de Estados Financieros</t>
  </si>
  <si>
    <t>Jefa de Servicio ISSSTE Ambito Centralizado A</t>
  </si>
  <si>
    <t>Departamento Analisis Revision Marco Legal y Reglamentario</t>
  </si>
  <si>
    <t>Jefe de Servicio ISSSTE Ambito Centralizado B</t>
  </si>
  <si>
    <t>Departamento Asuntos Civiles del Fuero Comun</t>
  </si>
  <si>
    <t>Jefa de Servicio ISSSTE Ambito Centralizado B</t>
  </si>
  <si>
    <t>Departamento Asuntos Civiles del Fuero Federal</t>
  </si>
  <si>
    <t>Jefe de Servicio ISSSTE Ambito Desconcentrado</t>
  </si>
  <si>
    <t>Departamento Asuntos Consultivos Organos Desconcentrados</t>
  </si>
  <si>
    <t>Jefa de Servicio ISSSTE Ambito Desconcentrado</t>
  </si>
  <si>
    <t>Departamento Asuntos Penales</t>
  </si>
  <si>
    <t>Jefe de Servicios PENSIONISSSTE A</t>
  </si>
  <si>
    <t>Departamento Asuntos Penales en Proceso</t>
  </si>
  <si>
    <t>Jefa de Servicios PENSIONISSSTE A</t>
  </si>
  <si>
    <t>Departamento Atencion Juridica a Multifamilias y Programas Especiales</t>
  </si>
  <si>
    <t>Jefe de Servicios PENSIONISSSTE B</t>
  </si>
  <si>
    <t>Departamento B de Presupuesto Areas Centrales</t>
  </si>
  <si>
    <t>Jefa de Servicios PENSIONISSSTE B</t>
  </si>
  <si>
    <t>Departamento C de Presupuesto Areas Centrales</t>
  </si>
  <si>
    <t>Jefe de Servicios y Mantenimiento</t>
  </si>
  <si>
    <t>Departamento Cancelaciones Hipotecarias y Enlace Regimen Publico Propiedad</t>
  </si>
  <si>
    <t>Jefa de Servicios y Mantenimiento</t>
  </si>
  <si>
    <t>Departamento Conservacion y Mantenimiento del Conjunto Av de la Republica</t>
  </si>
  <si>
    <t>Jefe de Unidad A Desconcentradas</t>
  </si>
  <si>
    <t>Departamento Consolidacion y Enlace Sistema Contables</t>
  </si>
  <si>
    <t>Jefa de Unidad A Desconcentradas</t>
  </si>
  <si>
    <t>Departamento Contratos de Servicios Generales</t>
  </si>
  <si>
    <t>Jefe de Unidad B Desconcentradas</t>
  </si>
  <si>
    <t>Departamento Control de Adeudos Individuales</t>
  </si>
  <si>
    <t>Jefa de Unidad B Desconcentradas</t>
  </si>
  <si>
    <t>Departamento Control de Sistema de Nominas</t>
  </si>
  <si>
    <t>Jefe de Unidad OIC</t>
  </si>
  <si>
    <t>Departamento Control de Sistemas de Asignacion de Derechos</t>
  </si>
  <si>
    <t>Jefa de Unidad OIC</t>
  </si>
  <si>
    <t>Departamento Control Personal Areas Centrales</t>
  </si>
  <si>
    <t>Jefe de Unidad PENSIONISSSTE</t>
  </si>
  <si>
    <t>Departamento Control Personal Delegaciones Estatales</t>
  </si>
  <si>
    <t>Jefa de Unidad PENSIONISSSTE</t>
  </si>
  <si>
    <t>Departamento D Contabilidad D Sityf y Fovissste</t>
  </si>
  <si>
    <t>Jefe Oficina Estudios Profesionales</t>
  </si>
  <si>
    <t>Departamento de Acceso a la Informacion</t>
  </si>
  <si>
    <t>Jefa Oficina Estudios Profesionales</t>
  </si>
  <si>
    <t>Departamento de Activos Fijos y Prestaciones Economicas</t>
  </si>
  <si>
    <t>Jefe Recibo Centro Comercial</t>
  </si>
  <si>
    <t>Departamento de Actualizacion y Contabilidad de Movimientos</t>
  </si>
  <si>
    <t>Jefa Recibo Centro Comercial</t>
  </si>
  <si>
    <t>Departamento de Actualizacion y Desarrollo Normativo</t>
  </si>
  <si>
    <t>Jefe Recibo Centro Comercial Especial</t>
  </si>
  <si>
    <t>Departamento de Administracion</t>
  </si>
  <si>
    <t>Jefa Recibo Centro Comercial Especial</t>
  </si>
  <si>
    <t>Departamento de Administracion de Centros de Computo</t>
  </si>
  <si>
    <t>Jefe Recibo Semicentro Comercial</t>
  </si>
  <si>
    <t>Departamento de Administracion de la Base de Datos de Derechohabientes</t>
  </si>
  <si>
    <t>Jefa Recibo Semicentro Comercial</t>
  </si>
  <si>
    <t>Departamento de Administracion de Personal</t>
  </si>
  <si>
    <t>Jefe de Departamento PENSIONISSSTE B</t>
  </si>
  <si>
    <t>Departamento de Administracion de Riesgos de Credito</t>
  </si>
  <si>
    <t>Jefa de Departamento PENSIONISSSTE B</t>
  </si>
  <si>
    <t>Departamento de Administracion de Riesgos de Mercado</t>
  </si>
  <si>
    <t>Laboratorista A</t>
  </si>
  <si>
    <t>Departamento de Administracion de Riesgos Operativos</t>
  </si>
  <si>
    <t>Laboratorista B</t>
  </si>
  <si>
    <t>Departamento de Administracion de Sistemas</t>
  </si>
  <si>
    <t>Lavandera en Hospital</t>
  </si>
  <si>
    <t>Departamento de Administracion y Operacion del Sistema</t>
  </si>
  <si>
    <t>Manejador de Fondos y Valores</t>
  </si>
  <si>
    <t>Departamento de Administracion y Tramites</t>
  </si>
  <si>
    <t>Medico Especialista A</t>
  </si>
  <si>
    <t>Departamento de Adquisicion de Equipo Medico e Importaciones</t>
  </si>
  <si>
    <t>Medico Especialista B</t>
  </si>
  <si>
    <t>Departamento de Adquisicion de Instrumental Medico</t>
  </si>
  <si>
    <t>Medico Especialista C</t>
  </si>
  <si>
    <t>Departamento de Adquisicion de Material de Curacion</t>
  </si>
  <si>
    <t>Medico General A</t>
  </si>
  <si>
    <t>Departamento de Adquisicion de Mobiliario y Equipo Administrativo</t>
  </si>
  <si>
    <t>Medico General B</t>
  </si>
  <si>
    <t>Medico General C</t>
  </si>
  <si>
    <t>Departamento de Adquisiciones de Medicamentos</t>
  </si>
  <si>
    <t>Medico Interno</t>
  </si>
  <si>
    <t>Departamento de Aencion a Quejas Medicas y Administrativas</t>
  </si>
  <si>
    <t>Medico Jefe de Servicios</t>
  </si>
  <si>
    <t>Departamento de Afiliacion</t>
  </si>
  <si>
    <t>Medico Odontologo A</t>
  </si>
  <si>
    <t>Departamento de Afiliacion y Prestaciones Economicas</t>
  </si>
  <si>
    <t>Medico Odontologo B</t>
  </si>
  <si>
    <t>Departamento de Ajustes y Deducciones</t>
  </si>
  <si>
    <t>Medico Odontologo C</t>
  </si>
  <si>
    <t>Departamento de Amparos Indirectos</t>
  </si>
  <si>
    <t>Medico Odontologo Especialista A</t>
  </si>
  <si>
    <t>Departamento de Amparos y Recursos</t>
  </si>
  <si>
    <t>Medico Odontologo Especialista B</t>
  </si>
  <si>
    <t>Departamento de Analisis</t>
  </si>
  <si>
    <t>Medico Odontologo Especialista C</t>
  </si>
  <si>
    <t>Departamento de Analisis Crediticio</t>
  </si>
  <si>
    <t>Medico Residente 1er Grado</t>
  </si>
  <si>
    <t>Departamento de Analisis de Capitales</t>
  </si>
  <si>
    <t>Medico Residente 2do Grado</t>
  </si>
  <si>
    <t>Departamento de Analisis de Deuda</t>
  </si>
  <si>
    <t>Medico Residente 3er Grado</t>
  </si>
  <si>
    <t>Departamento de Analisis de Mercado</t>
  </si>
  <si>
    <t>Medico Residente 4to Grado</t>
  </si>
  <si>
    <t>Departamento de Analisis Estrategico</t>
  </si>
  <si>
    <t>Medico Residente 5to Grado</t>
  </si>
  <si>
    <t>Departamento de Analisis Evaluacion y Seguimiento</t>
  </si>
  <si>
    <t>MedIco Responsable UMF</t>
  </si>
  <si>
    <t>Departamento de Analisis y Concertacion de Indicadores y Metas</t>
  </si>
  <si>
    <t>Mensajero</t>
  </si>
  <si>
    <t>Departamento de Analisis y Diseno</t>
  </si>
  <si>
    <t>Nutricionista</t>
  </si>
  <si>
    <t>Departamento de Analisis y Regulacion de Manuales</t>
  </si>
  <si>
    <t>Oficial y/o Preparador Despachador de Farmacia</t>
  </si>
  <si>
    <t>Departamento de Analisis y Seguimiento a Programas Estrategicos</t>
  </si>
  <si>
    <t>Operador Cat A</t>
  </si>
  <si>
    <t>Departamento de Analisis y Valuacion Actuarial</t>
  </si>
  <si>
    <t>Operador Cat B</t>
  </si>
  <si>
    <t>Departamento de Aplicacion de la Normatividad y Dictaminacion de Proyectos</t>
  </si>
  <si>
    <t>Operador de Calderas en Hospital</t>
  </si>
  <si>
    <t>Departamento de Apoyo a la Desconcentradosoncentracion</t>
  </si>
  <si>
    <t>Operativo Contable</t>
  </si>
  <si>
    <t>Departamento de Apoyo a la Operacion y Seguimiento</t>
  </si>
  <si>
    <t>Operativo en Administracion</t>
  </si>
  <si>
    <t>Departamento de Apoyo Administrativo y Enlace Contable</t>
  </si>
  <si>
    <t>Operativo en Almacen</t>
  </si>
  <si>
    <t>Departamento de Apoyo al Diagnostico y Tratamiento</t>
  </si>
  <si>
    <t>Operativo en Piso de Venta</t>
  </si>
  <si>
    <t>Departamento de Apoyo Informatico y Logistico</t>
  </si>
  <si>
    <t>Operativo en Sistemas</t>
  </si>
  <si>
    <t>Departamento de Apoyo Institucional</t>
  </si>
  <si>
    <t>Pasante de Lic en Trabajo Social</t>
  </si>
  <si>
    <t>Departamento de Apoyo Normativo y Soporte Tecnico</t>
  </si>
  <si>
    <t>Pasante de Psicologo</t>
  </si>
  <si>
    <t>Departamento de Apoyo Tecnico</t>
  </si>
  <si>
    <t>Pasante de Servicios de Enfermeria</t>
  </si>
  <si>
    <t>Departamento de Apoyo Tecnico a Programas Estrategicos</t>
  </si>
  <si>
    <t>Pasante de Servicios Odontolog</t>
  </si>
  <si>
    <t>Departamento de Apoyo Tecnico y de Fomento de Modelos de Transparencia</t>
  </si>
  <si>
    <t>Pasante de Servicios Odontologicos</t>
  </si>
  <si>
    <t>Departamento de Apoyos Educativos</t>
  </si>
  <si>
    <t>Prof Ejec Serv Espec Audit OCI</t>
  </si>
  <si>
    <t>Departamento de Aseguramiento de la Calidad</t>
  </si>
  <si>
    <t>Prof Serv Espec en Audit OCI</t>
  </si>
  <si>
    <t>Departamento de Asesoria Normativa y Seguimiento Administrativo</t>
  </si>
  <si>
    <t>Profesional Administrativo A</t>
  </si>
  <si>
    <t>Departamento de Asistencia Telefonica</t>
  </si>
  <si>
    <t>Profesional Administrativo B</t>
  </si>
  <si>
    <t>Departamento de Aspectos Legales de Obra</t>
  </si>
  <si>
    <t>Profesional en Comunicacion Humana</t>
  </si>
  <si>
    <t>Departamento de Asuntos Consultivos</t>
  </si>
  <si>
    <t>Prosecretario PENSIONISSSTE</t>
  </si>
  <si>
    <t>Departamento de Asuntos Fiscales</t>
  </si>
  <si>
    <t>Psicologo Clinico</t>
  </si>
  <si>
    <t>Departamento de Asuntos Juridicos Coorporativos</t>
  </si>
  <si>
    <t>Psicologo Especializado</t>
  </si>
  <si>
    <t>Departamento de Asuntos Laborales ante el Tribunal Federal de Conciliacion y Arbitraje</t>
  </si>
  <si>
    <t>Quimico A</t>
  </si>
  <si>
    <t>Departamento de Asuntos Laborales ante la Junta Federal de Conciliacion y Arbitraje</t>
  </si>
  <si>
    <t>Quimico B</t>
  </si>
  <si>
    <t>Departamento de Asuntos Laborales y Amparos</t>
  </si>
  <si>
    <t>Quimico C</t>
  </si>
  <si>
    <t>Departamento de Asuntos Medico Legales</t>
  </si>
  <si>
    <t>Quimico Jefe de Seccion de Lab de Analisis Clinicos A</t>
  </si>
  <si>
    <t>Departamento de Asuntos Tributarios</t>
  </si>
  <si>
    <t>Quimico Jefe de Seccion de Lab de Analisis Clinicos C</t>
  </si>
  <si>
    <t>Departamento de Atencion a Peticiones Ciudadanas</t>
  </si>
  <si>
    <t>Quimico Jefe de Seccion de Laboratorio de Analisis Clinicos B</t>
  </si>
  <si>
    <t>Departamento de Atencion a Requerimientos</t>
  </si>
  <si>
    <t>Receptor Productos Venta</t>
  </si>
  <si>
    <t>Departamento de Atencion a Usuarios</t>
  </si>
  <si>
    <t>Receptora Productos Venta</t>
  </si>
  <si>
    <t>Departamento de Atencion al Derechohabiente y Comunicacion Social</t>
  </si>
  <si>
    <t>Responsable de Area PENSIONISSSTE A</t>
  </si>
  <si>
    <t>Departamento de Atencion de Quejas Directas y Conamed</t>
  </si>
  <si>
    <t>Responsable de Area PENSIONISSSTE B</t>
  </si>
  <si>
    <t>Departamento de Atencion de Siniestros de Accidentes Personales</t>
  </si>
  <si>
    <t>Responsable de Area PENSIONISSSTE C</t>
  </si>
  <si>
    <t>Departamento de Atencion de Siniestros de Automoviles</t>
  </si>
  <si>
    <t>Responsable de Area PENSIONISSSTE D</t>
  </si>
  <si>
    <t>Departamento de Atencion de Siniestros de Delegaciones y Unidades Medicas</t>
  </si>
  <si>
    <t>Secretario Auxiliar Subdirector de Area</t>
  </si>
  <si>
    <t>Departamento de Atencion de Siniestros de Responsabilidad Civil</t>
  </si>
  <si>
    <t>Secretaria de Jefe de Servicios</t>
  </si>
  <si>
    <t>Departamento de Atencion de Siniestros en Viviendas FOVISSSTE Zona Norte</t>
  </si>
  <si>
    <t>Secretaria de Oficina Subdirector de Area</t>
  </si>
  <si>
    <t>Departamento de Atencion de Siniestros en Viviendas FOVISSSTE Zona Sur</t>
  </si>
  <si>
    <t>Secretaria Ejecutiva B OCI</t>
  </si>
  <si>
    <t>Departamento de Atencion de Siniestros Institucionales y de Unidades de Servicio</t>
  </si>
  <si>
    <t>Secretaria Ejecutiva D</t>
  </si>
  <si>
    <t>Departamento de Atencion Medica</t>
  </si>
  <si>
    <t>Secretaria Ejecutiva E</t>
  </si>
  <si>
    <t>Departamento de Atencion y Orientacion a Derech</t>
  </si>
  <si>
    <t>Secretaria Privada de Director General</t>
  </si>
  <si>
    <t>Departamento de Auditoria de la Calidad</t>
  </si>
  <si>
    <t>Secretario General</t>
  </si>
  <si>
    <t>Departamento de Bienes e Insumos</t>
  </si>
  <si>
    <t>Secretario Particular de Director General</t>
  </si>
  <si>
    <t>Departamento de Bioestadistica</t>
  </si>
  <si>
    <t>Secretario Tecnico PENSIONISSSTE</t>
  </si>
  <si>
    <t>Departamento de Caja</t>
  </si>
  <si>
    <t>Soporte Administrativo C</t>
  </si>
  <si>
    <t>Departamento de Calidad de la Atencion Medica</t>
  </si>
  <si>
    <t>Soporte Administrativo D</t>
  </si>
  <si>
    <t>Departamento de Capacitacion</t>
  </si>
  <si>
    <t>Subcontralor</t>
  </si>
  <si>
    <t>Departamento de Catalogos e Investigacion de Precios</t>
  </si>
  <si>
    <t>Departamento de Central de Emergencias</t>
  </si>
  <si>
    <t>Departamento de Centros de Computo</t>
  </si>
  <si>
    <t>Subdelegado A</t>
  </si>
  <si>
    <t>Departamento de Centros Recreativos</t>
  </si>
  <si>
    <t>Subdelegada A</t>
  </si>
  <si>
    <t>Departamento de Certificaciones y Archivo</t>
  </si>
  <si>
    <t>Subdelegado B</t>
  </si>
  <si>
    <t>Departamento de Cirugia</t>
  </si>
  <si>
    <t>Subdelegada B</t>
  </si>
  <si>
    <t>Departamento de Cirugia de Resolucion Rapida</t>
  </si>
  <si>
    <t>Subdirector de CH A</t>
  </si>
  <si>
    <t>Departamento de Cobranza y Apoyo Operativo</t>
  </si>
  <si>
    <t>Subdirectora de CH A</t>
  </si>
  <si>
    <t>Departamento de Cobranza y Convenios Civiles</t>
  </si>
  <si>
    <t>Subdirector de CH B</t>
  </si>
  <si>
    <t>Departamento de Comisiones Nacionales Mixtas</t>
  </si>
  <si>
    <t>Subdirectora de CH B</t>
  </si>
  <si>
    <t>Departamento de Comites Institucionales</t>
  </si>
  <si>
    <t>Subdirector de CMF A</t>
  </si>
  <si>
    <t>Departamento de Comunicacion Educativa</t>
  </si>
  <si>
    <t>Subdirectora de CMF A</t>
  </si>
  <si>
    <t>Departamento de Comunicacion Institucional</t>
  </si>
  <si>
    <t>Subdirector de CMF B</t>
  </si>
  <si>
    <t>Departamento de Concertacion Social</t>
  </si>
  <si>
    <t>Subdirectora de CMF B</t>
  </si>
  <si>
    <t>Departamento de Conciliaciones Bancarias</t>
  </si>
  <si>
    <t>Subdirector de Escuela de Dietetica y Nutricion</t>
  </si>
  <si>
    <t>Departamento de Concursos y Contratos</t>
  </si>
  <si>
    <t>Subdirectora de Escuela de Dietetica y Nutricion</t>
  </si>
  <si>
    <t>Departamento de Conservacion Mantenimiento y Supervision de Inmuebles e Inst</t>
  </si>
  <si>
    <t>Subdirector de HG A</t>
  </si>
  <si>
    <t>Departamento de Conservacion Mantenimiento y Supervision de Inmuebles Inst</t>
  </si>
  <si>
    <t>Subdirectora de HG A</t>
  </si>
  <si>
    <t>Departamento de Consulta y Regularizacion</t>
  </si>
  <si>
    <t>Subdirector de HG B</t>
  </si>
  <si>
    <t>Departamento de Contabilidad</t>
  </si>
  <si>
    <t>Subdirectora de HG B</t>
  </si>
  <si>
    <t>Departamento de Contabilidad de PENSIONISSSTE</t>
  </si>
  <si>
    <t>Subdirector de HAE A</t>
  </si>
  <si>
    <t>Departamento de Contabilidad de Siefores</t>
  </si>
  <si>
    <t>Subdirectora de HAE A</t>
  </si>
  <si>
    <t>Departamento de Contratos</t>
  </si>
  <si>
    <t>Subdirector de HAE B</t>
  </si>
  <si>
    <t>Departamento de Contratos Licitaciones y Poderes</t>
  </si>
  <si>
    <t>Subdirectora de HAE B</t>
  </si>
  <si>
    <t>Departamento de Control</t>
  </si>
  <si>
    <t>Subdirector ISSSTE A</t>
  </si>
  <si>
    <t>Departamento de Control Administrativo</t>
  </si>
  <si>
    <t>Subdirectora ISSSTE A</t>
  </si>
  <si>
    <t>Departamento de Control de Adeudos Individuales</t>
  </si>
  <si>
    <t>Subdirector ISSSTE B</t>
  </si>
  <si>
    <t>Departamento de Control de Archivos</t>
  </si>
  <si>
    <t>Subdirectora ISSSTE B</t>
  </si>
  <si>
    <t>Departamento de Control de Bienes Muebles</t>
  </si>
  <si>
    <t>Subdirector PENSIONISSSTE A</t>
  </si>
  <si>
    <t>Departamento de Control de Bienes Inmuebles</t>
  </si>
  <si>
    <t>Subdirectora PENSIONISSSTE A</t>
  </si>
  <si>
    <t>Departamento de Control de Calidad</t>
  </si>
  <si>
    <t>Subdirector PENSIONISSSTE B</t>
  </si>
  <si>
    <t>Departamento de Control de Calidad de Registro</t>
  </si>
  <si>
    <t>Subdirectora PENSIONISSSTE B</t>
  </si>
  <si>
    <t>Departamento de Control de Calidad de Traspaso</t>
  </si>
  <si>
    <t>Subjefe de Area</t>
  </si>
  <si>
    <t>Departamento de Control de Cifras</t>
  </si>
  <si>
    <t>Subjefa de Area</t>
  </si>
  <si>
    <t>Departamento de Control de Estimaciones</t>
  </si>
  <si>
    <t>Subjefe de Departamento</t>
  </si>
  <si>
    <t>Departamento de Control de Informacion</t>
  </si>
  <si>
    <t>Subjefa de Departamento</t>
  </si>
  <si>
    <t>Departamento de Control de la Produccion</t>
  </si>
  <si>
    <t>Subjefe de Departamento Laudo</t>
  </si>
  <si>
    <t>Departamento de Control de Nominas</t>
  </si>
  <si>
    <t>Subjefa de Departamento Laudo</t>
  </si>
  <si>
    <t>Departamento de Control de Operacion</t>
  </si>
  <si>
    <t>Subjefe de Dietetica</t>
  </si>
  <si>
    <t>Departamento de Control Legal</t>
  </si>
  <si>
    <t>Subjefa de Dietetica</t>
  </si>
  <si>
    <t>Departamento de Control y Analisis Fiscales</t>
  </si>
  <si>
    <t>Subjefe de Enfermeras</t>
  </si>
  <si>
    <t>Departamento de Control y Apoyo Operativo</t>
  </si>
  <si>
    <t>Subjefa de Enfermeras</t>
  </si>
  <si>
    <t>Departamento de Control y Evaluacion</t>
  </si>
  <si>
    <t>Subjefe de Enfermeras A</t>
  </si>
  <si>
    <t>Departamento de Control y Seguimiento de Cartera</t>
  </si>
  <si>
    <t>Subjefa de Enfermeras A</t>
  </si>
  <si>
    <t>Departamento de Control y Validacion de Derechos</t>
  </si>
  <si>
    <t>Subjefe de Farmacia</t>
  </si>
  <si>
    <t>Departamento de Convenios</t>
  </si>
  <si>
    <t>Subjefa de Farmacia</t>
  </si>
  <si>
    <t>Departamento de Coordinacion Comercial Regional</t>
  </si>
  <si>
    <t>Supervisor Administrativo</t>
  </si>
  <si>
    <t>Departamento de Coordinacion con Areas Centrales Desconcentrados y Deleg</t>
  </si>
  <si>
    <t>Supervisor A de Area Administrativa de CH</t>
  </si>
  <si>
    <t>Departamento de Coordinacion con Unidades Administrativas Deconcentradas</t>
  </si>
  <si>
    <t>Supervisor A de Area Administrativa de CMF</t>
  </si>
  <si>
    <t>Departamento de Coordinacion de Cuerpos Colegiados Institucionales</t>
  </si>
  <si>
    <t>Supervisor A de Area Administrativa de HG</t>
  </si>
  <si>
    <t>Departamento de Coordinacion de Modulos y Relaciones Publicas con El Derech</t>
  </si>
  <si>
    <t>Supervisor A de Area Administrativa de Tercer Nivel</t>
  </si>
  <si>
    <t>Departamento de Coordinacion de Seguros Prestaciones y Servicios</t>
  </si>
  <si>
    <t>Supervisor B de Area Administrativa de CH</t>
  </si>
  <si>
    <t>Departamento de Coordinacion Intitucional con Areas Centrales</t>
  </si>
  <si>
    <t>Supervisor B de Area Administrativa de HG</t>
  </si>
  <si>
    <t>Departamento de Coordinacion y Analisis de la Informacion</t>
  </si>
  <si>
    <t>Supervisor B de Area Administrativa de Tercer Nivel</t>
  </si>
  <si>
    <t>Departamento de Coordinacion y Verificacion</t>
  </si>
  <si>
    <t>Supervisor Cajas</t>
  </si>
  <si>
    <t>Departamento de Delegaciones Zona I</t>
  </si>
  <si>
    <t>Supervisor Cat</t>
  </si>
  <si>
    <t>Departamento de Delegaciones Zona II</t>
  </si>
  <si>
    <t>Supervisor Contable</t>
  </si>
  <si>
    <t>Departamento de Delegaciones Zona III</t>
  </si>
  <si>
    <t>Supervisor de Almacen</t>
  </si>
  <si>
    <t>Departamento de Deporte para la Salud</t>
  </si>
  <si>
    <t>Supervisor de Linea</t>
  </si>
  <si>
    <t>Departamento de Desarrollo</t>
  </si>
  <si>
    <t>Supervisor de Sistemas</t>
  </si>
  <si>
    <t>Departamento de Desarrollo de Inmuebles</t>
  </si>
  <si>
    <t>Supervisor Medico A</t>
  </si>
  <si>
    <t>Departamento de Desarrollo de la Atencion Quirurgica y de Urgencias</t>
  </si>
  <si>
    <t>Supervisor Medico B</t>
  </si>
  <si>
    <t>Departamento de Desarrollo de Medicina Familiar</t>
  </si>
  <si>
    <t>Supervisor Medico C</t>
  </si>
  <si>
    <t>Departamento de Desarrollo de Proyectos</t>
  </si>
  <si>
    <t>Supervisor Medico D</t>
  </si>
  <si>
    <t>Departamento de Desarrollo de Servicios</t>
  </si>
  <si>
    <t>Supervisor Medico E</t>
  </si>
  <si>
    <t>Departamento de Desarrollo de Sistemas</t>
  </si>
  <si>
    <t>Supervisor Medico F</t>
  </si>
  <si>
    <t>Departamento de Desarrollo de Unidades Hospitalarias</t>
  </si>
  <si>
    <t>Supervisor Tecnico Medio</t>
  </si>
  <si>
    <t>Departamento de Desarrollo Humano</t>
  </si>
  <si>
    <t>Supervisor de Trabajo Social en Area Medica B</t>
  </si>
  <si>
    <t>Departamento de Desarrollo Normativo</t>
  </si>
  <si>
    <t>Tecnico Anestesista</t>
  </si>
  <si>
    <t>Departamento de Desarrollo Tecnologico y Equipo</t>
  </si>
  <si>
    <t>Tecnico Auxiliar I</t>
  </si>
  <si>
    <t>Departamento de Desarrollo y Automatizacion de Procesos</t>
  </si>
  <si>
    <t>Tecnico Auxiliar II</t>
  </si>
  <si>
    <t>Departamento de Dictaminacion de Reembolsos</t>
  </si>
  <si>
    <t>Tecnico Auxiliar III</t>
  </si>
  <si>
    <t>Departamento de Difusion</t>
  </si>
  <si>
    <t>Tecnico Auxiliar IV</t>
  </si>
  <si>
    <t>Departamento de Diseno Curricular</t>
  </si>
  <si>
    <t>Tecnico Auxiliar V</t>
  </si>
  <si>
    <t>Departamento de Diseno de Metodologias de Evaluacion</t>
  </si>
  <si>
    <t>Tecnico Auxiliar VI</t>
  </si>
  <si>
    <t>Departamento de Diseno de Sistema</t>
  </si>
  <si>
    <t>Tecnico Auxiliar VII</t>
  </si>
  <si>
    <t>Departamento de Diseno e Integracion de Programas Estrategicos</t>
  </si>
  <si>
    <t>Tecnico Auxiliar VIII</t>
  </si>
  <si>
    <t>Departamento de Disposicion Final Bienes Muebles</t>
  </si>
  <si>
    <t>Tecnico Contable</t>
  </si>
  <si>
    <t>Departamento de Documentacion y Analisis</t>
  </si>
  <si>
    <t>Tecnico de Laboratorio de Optoaudiometria</t>
  </si>
  <si>
    <t>Departamento de Eficiencia y Aseguramiento de la Calidad</t>
  </si>
  <si>
    <t>Tecnico Ejecutivo en Procesos</t>
  </si>
  <si>
    <t>Departamento de Egresos y Archivo</t>
  </si>
  <si>
    <t>Tecnico en Administracion</t>
  </si>
  <si>
    <t>Departamento de Enlace</t>
  </si>
  <si>
    <t>Tecnico en Almacen</t>
  </si>
  <si>
    <t>Departamento de Enlace con Organizaciones</t>
  </si>
  <si>
    <t>Tecnico en Electrodiagnostico</t>
  </si>
  <si>
    <t>Departamento de Enlace con Organos de Gobierno y Apoyo a Comites Tecnicos</t>
  </si>
  <si>
    <t>Tecnico en Estadistica en Area Medica</t>
  </si>
  <si>
    <t>Departamento de Enlace con Puntos de Atencion</t>
  </si>
  <si>
    <t>Tecnico en Odontologia</t>
  </si>
  <si>
    <t>Departamento de Enlace Contable</t>
  </si>
  <si>
    <t>Tecnico en Optometria</t>
  </si>
  <si>
    <t>Departamento de Enlace Hospitalario</t>
  </si>
  <si>
    <t>Tecnico en Piso de Venta</t>
  </si>
  <si>
    <t>Departamento de Ensenanza</t>
  </si>
  <si>
    <t>Tecnico en Procesos</t>
  </si>
  <si>
    <t>Departamento de Ensenanza Deportiva</t>
  </si>
  <si>
    <t>Tecnico en Sistemas</t>
  </si>
  <si>
    <t>Departamento de Ensenanza e Investigacion</t>
  </si>
  <si>
    <t>Tecnico en Trabajo Social en Area Medica A</t>
  </si>
  <si>
    <t>Departamento de Ensenanza y Capacitacion</t>
  </si>
  <si>
    <t>Tecnico en Trabajo Social en Area Medica B</t>
  </si>
  <si>
    <t>Departamento de Estrategias y Programas de Comunicacion Directa</t>
  </si>
  <si>
    <t>Tecnico Especialista</t>
  </si>
  <si>
    <t>Departamento de Estructuras</t>
  </si>
  <si>
    <t>Tecnico Especializado Profesionista</t>
  </si>
  <si>
    <t>Departamento de Estructuras Ocupacionales</t>
  </si>
  <si>
    <t>Tecnico Gericultista</t>
  </si>
  <si>
    <t>Departamento de Estudios de Competitividad</t>
  </si>
  <si>
    <t>Tecnico Histopatologo</t>
  </si>
  <si>
    <t>Departamento de Estudios Estadistica y Evaluacion</t>
  </si>
  <si>
    <t>Tecnico Laboratorista B</t>
  </si>
  <si>
    <t>Departamento de Estudios Financieros</t>
  </si>
  <si>
    <t>Tecnico Medio</t>
  </si>
  <si>
    <t>Departamento de Estudios y Atencion al Envejecimiento</t>
  </si>
  <si>
    <t>Tecnico Radiologo o en Radioterapia</t>
  </si>
  <si>
    <t>Departamento de Evaluacion</t>
  </si>
  <si>
    <t>Terapista</t>
  </si>
  <si>
    <t>Departamento de Evaluacion de Proyectos</t>
  </si>
  <si>
    <t>Terapista Especializado</t>
  </si>
  <si>
    <t>Departamento de Evaluacion de Resultados</t>
  </si>
  <si>
    <t>Departamento de Evaluacion Institucional</t>
  </si>
  <si>
    <t>Departamento de Evaluacion Institucional Central</t>
  </si>
  <si>
    <t>Titular de la Unidad de Comunicacion Social</t>
  </si>
  <si>
    <t>Departamento de Evaluacion Institucional Desconcentrados</t>
  </si>
  <si>
    <t>Trabajador Social en Area Medica A</t>
  </si>
  <si>
    <t>Departamento de Evaluacion Programatica y Presupuestal</t>
  </si>
  <si>
    <t>Trabajador Social en Area Medica B</t>
  </si>
  <si>
    <t>Departamento de Evaluacion y Apoyo Tecnico</t>
  </si>
  <si>
    <t>Vocal Ejecutivo PENSIONISSSTE</t>
  </si>
  <si>
    <t>Departamento de Finanzas</t>
  </si>
  <si>
    <t>Departamento de Finiquitos de Obra</t>
  </si>
  <si>
    <t>Departamento de Fomento a la Participacion Social</t>
  </si>
  <si>
    <t>Departamento de Formulacion e Implantacion de Planes y Programas</t>
  </si>
  <si>
    <t>Departamento de Formulacion e Implementacion de Planes y Programas</t>
  </si>
  <si>
    <t>Departamento de Fortalecimiento a Programas Preventivos</t>
  </si>
  <si>
    <t>Departamento de Fortalecimiento Delegacional</t>
  </si>
  <si>
    <t>Departamento de Gastos de Operacion</t>
  </si>
  <si>
    <t>Departamento de Gestion y Desarrollo de Modelos para la Mejora</t>
  </si>
  <si>
    <t>Departamento de Gestion y Orientacion a la Salud</t>
  </si>
  <si>
    <t>Departamento de Ginecologia y Obstetricia</t>
  </si>
  <si>
    <t>Departamento de Hospitales Regionales</t>
  </si>
  <si>
    <t>Departamento de Inconformidades Analisis y Apoyo Juridico</t>
  </si>
  <si>
    <t>Departamento de Incorporacion de Dependencias y Entidades</t>
  </si>
  <si>
    <t>Departamento de Incorporacion de Movimientos Afiliatorios</t>
  </si>
  <si>
    <t>Departamento de Indicadores Basicos</t>
  </si>
  <si>
    <t>Departamento de Informacion Automatizada</t>
  </si>
  <si>
    <t>Departamento de Informacion Financiera</t>
  </si>
  <si>
    <t>Departamento de Informacion Institucional</t>
  </si>
  <si>
    <t>Departamento de Informacion y Analisis</t>
  </si>
  <si>
    <t>Departamento de Informacion y Estadistica</t>
  </si>
  <si>
    <t>Departamento de Informacion y Procesos</t>
  </si>
  <si>
    <t>Departamento de Informatica</t>
  </si>
  <si>
    <t>Departamento de Informes Institucionales</t>
  </si>
  <si>
    <t>Departamento de Ingenieria Electrica y Comunicaciones</t>
  </si>
  <si>
    <t>Departamento de Ingenieria Electromecanica</t>
  </si>
  <si>
    <t>Departamento de Ingenieria en Sistema de Transportacion Vertical</t>
  </si>
  <si>
    <t>Departamento de Ingenieria Quimica</t>
  </si>
  <si>
    <t>Departamento de Instrumentacion y Vigilancia</t>
  </si>
  <si>
    <t>Departamento de Insumos para la Salud</t>
  </si>
  <si>
    <t>Departamento de Integracion de Sistema</t>
  </si>
  <si>
    <t>Departamento de Integracion Presupuestal</t>
  </si>
  <si>
    <t>Departamento de Integracion Programatica</t>
  </si>
  <si>
    <t>Departamento de Integracion y Control del Expediente Electronico</t>
  </si>
  <si>
    <t>Departamento de Integracion y Control Documental</t>
  </si>
  <si>
    <t>Departamento de Integracion y Evaluacion</t>
  </si>
  <si>
    <t>Departamento de Intercambio de Informacion y Portabilidad de Derechos</t>
  </si>
  <si>
    <t>Departamento de Intercambio y Cooperacion Academica</t>
  </si>
  <si>
    <t>Departamento de Inversiones</t>
  </si>
  <si>
    <t>Departamento de Investigacion</t>
  </si>
  <si>
    <t>Departamento de Investigacion y Analisis</t>
  </si>
  <si>
    <t>Departamento de lo Consultivo</t>
  </si>
  <si>
    <t>Departamento de lo Contencioso</t>
  </si>
  <si>
    <t>Departamento de Mantenimiento de Equipo Medico</t>
  </si>
  <si>
    <t>Departamento de Medicina</t>
  </si>
  <si>
    <t>Departamento de Medicina del Trabajo</t>
  </si>
  <si>
    <t>Departamento de Medicion y Analisis para la Mejora en la Atencion</t>
  </si>
  <si>
    <t>Departamento de Mercadotecnia y Publicidad</t>
  </si>
  <si>
    <t>Departamento de Modelos de Gestion</t>
  </si>
  <si>
    <t>Departamento de Nominas</t>
  </si>
  <si>
    <t>Departamento de Normas y Politicas</t>
  </si>
  <si>
    <t>Departamento de Normas y Procedimientos</t>
  </si>
  <si>
    <t>Departamento de Normatividad</t>
  </si>
  <si>
    <t>Departamento de Normatividad Recursos Materiales y Servicios</t>
  </si>
  <si>
    <t>Departamento de Normatividad y Estudios Especiales</t>
  </si>
  <si>
    <t>Departamento de Normatividad y Seguimiento</t>
  </si>
  <si>
    <t>Departamento de Obligaciones Federales</t>
  </si>
  <si>
    <t>Departamento de Operacion de Capitales</t>
  </si>
  <si>
    <t>Departamento de Operacion de Derivados</t>
  </si>
  <si>
    <t>Departamento de Operacion de Deuda Operacion de Inversiones</t>
  </si>
  <si>
    <t>Departamento de Operacion de Recursos y Consolidacion Documental</t>
  </si>
  <si>
    <t>Departamento de Operacion Delegacional</t>
  </si>
  <si>
    <t>Departamento de Operacion Desconcentradosoncentrada</t>
  </si>
  <si>
    <t>Departamento de Operacion Financiera</t>
  </si>
  <si>
    <t>Departamento de Operacion y Vinculacion Instit</t>
  </si>
  <si>
    <t>Departamento de Organizacion de los Servicios Bancarios</t>
  </si>
  <si>
    <t>Departamento de Organizacion y Funcionamiento de Unidades Medicas</t>
  </si>
  <si>
    <t>Departamento de Organizacion y Logistica</t>
  </si>
  <si>
    <t>Departamento de Padecimientos Oncologicos</t>
  </si>
  <si>
    <t>Departamento de Pediatria</t>
  </si>
  <si>
    <t>Departamento de Pensiones Seguridad e Higiene</t>
  </si>
  <si>
    <t>Departamento de Personal</t>
  </si>
  <si>
    <t>Departamento de Personal y Recursos Financieros de la CA</t>
  </si>
  <si>
    <t>Departamento de Planeacion</t>
  </si>
  <si>
    <t>Departamento de Planeacion Desarrollo y Gestion Juridica</t>
  </si>
  <si>
    <t>Departamento de Planeacion y Normatividad</t>
  </si>
  <si>
    <t>Departamento de Planeacion y Registro</t>
  </si>
  <si>
    <t>Departamento de Planeacion y Supervision de Proyectos</t>
  </si>
  <si>
    <t>Departamento de Politicas Financieras Delegacionales</t>
  </si>
  <si>
    <t>Departamento de Precios Unitarios de Equipo Medico</t>
  </si>
  <si>
    <t>Departamento de Precios Unitarios de Instalaciones</t>
  </si>
  <si>
    <t>Departamento de Precios Unitarios de Obra</t>
  </si>
  <si>
    <t>Departamento de Prestaciones Culturales</t>
  </si>
  <si>
    <t>Departamento de Prestaciones e Incidencias</t>
  </si>
  <si>
    <t>Departamento de Presupuesto</t>
  </si>
  <si>
    <t>Departamento de Presupuesto Areas Centrales</t>
  </si>
  <si>
    <t>Departamento de Presupuesto Central y Desconcentrado</t>
  </si>
  <si>
    <t>Departamento de Presupuesto y Contabilidad Gubernamental</t>
  </si>
  <si>
    <t>Departamento de Presupuesto y Estadistica</t>
  </si>
  <si>
    <t>Departamento de Procedimientos Administrativos</t>
  </si>
  <si>
    <t>Departamento de Procesamiento Integracion y Control de la Informacion</t>
  </si>
  <si>
    <t>Departamento de Proceso</t>
  </si>
  <si>
    <t>Departamento de Proceso de Pago</t>
  </si>
  <si>
    <t>Departamento de Procesos A</t>
  </si>
  <si>
    <t>Departamento de Procesos B</t>
  </si>
  <si>
    <t>Departamento de Procesos C</t>
  </si>
  <si>
    <t>Departamento de Produccion</t>
  </si>
  <si>
    <t>Departamento de Progamas de Equidad</t>
  </si>
  <si>
    <t>Departamento de Programacion</t>
  </si>
  <si>
    <t>Departamento de Programacion Central</t>
  </si>
  <si>
    <t>Departamento de Programacion de Bienes</t>
  </si>
  <si>
    <t>Departamento de Programacion y Desarrollo</t>
  </si>
  <si>
    <t>Departamento de Programacion y Presupuestacion</t>
  </si>
  <si>
    <t>Departamento de Programas a Grupos en Situacion de Vulnerabilidad</t>
  </si>
  <si>
    <t>Departamento de Programas de Atencion Especial</t>
  </si>
  <si>
    <t>Departamento de Programas para Enfermedades Cronico Degenerativas</t>
  </si>
  <si>
    <t>Departamento de Promocion Afiliacion y Traspaso</t>
  </si>
  <si>
    <t>Departamento de Promocion de Programas Pensionados</t>
  </si>
  <si>
    <t>Departamento de Promociones</t>
  </si>
  <si>
    <t>Departamento de Proteccion Civil</t>
  </si>
  <si>
    <t>Departamento de Proyectos</t>
  </si>
  <si>
    <t>Departamento de Publicacion Electronica</t>
  </si>
  <si>
    <t>Departamento de Publicaciones</t>
  </si>
  <si>
    <t>Departamento de Publicidad Institucional</t>
  </si>
  <si>
    <t>Departamento de Recaudacion Central</t>
  </si>
  <si>
    <t>Departamento de Recaudacion Delegacional</t>
  </si>
  <si>
    <t>Departamento de Recepcion y Control de Tramites</t>
  </si>
  <si>
    <t>Departamento de Recuperacion de Fianzas</t>
  </si>
  <si>
    <t>Departamento de Recuperacion de la Cartera Vencida</t>
  </si>
  <si>
    <t>Departamento de Recursos</t>
  </si>
  <si>
    <t>Departamento de Recursos Financieros</t>
  </si>
  <si>
    <t>Departamento de Recursos Financieros y Humanos</t>
  </si>
  <si>
    <t>Departamento de Recursos Humanos</t>
  </si>
  <si>
    <t>Departamento de Recursos Materiales de la CA</t>
  </si>
  <si>
    <t>Departamento de Recursos Materiales y Obras</t>
  </si>
  <si>
    <t>Departamento de Recursos Materiales y Servicios</t>
  </si>
  <si>
    <t>Departamento de Recursos Materiales y Servicios Generales</t>
  </si>
  <si>
    <t>Departamento de Recursos para la Operacion</t>
  </si>
  <si>
    <t>Departamento de Redaccion</t>
  </si>
  <si>
    <t>Departamento de Redes</t>
  </si>
  <si>
    <t>Departamento de Redes de Servicios de 1Er Nivel de Atencion</t>
  </si>
  <si>
    <t>Departamento de Redes y Comunicacion</t>
  </si>
  <si>
    <t>Departamento de Registro Financiero</t>
  </si>
  <si>
    <t>Departamento de Registro y Control</t>
  </si>
  <si>
    <t>Departamento de Registro y Program de Adquisiciones</t>
  </si>
  <si>
    <t>Departamento de Registro y Programacion de Ingresos</t>
  </si>
  <si>
    <t>Departamento de Registro y Seguimiento</t>
  </si>
  <si>
    <t>Departamento de Regulacion y de los Sistemas de Atencion</t>
  </si>
  <si>
    <t>Departamento de Relaciones con Instituciones de Seguridad Social</t>
  </si>
  <si>
    <t>Departamento de Relaciones con Organismos Multilaterales</t>
  </si>
  <si>
    <t>Departamento de Relaciones con Represtaciones Diplomaticas</t>
  </si>
  <si>
    <t>Departamento de Relaciones Publicas y Atencion a Integrantes de la Junta Directiva</t>
  </si>
  <si>
    <t>Departamento de Representaciones</t>
  </si>
  <si>
    <t>Departamento de Revision y Control de Gasto</t>
  </si>
  <si>
    <t>Departamento de Riesgos</t>
  </si>
  <si>
    <t>Departamento de Seguimiento de Procesos</t>
  </si>
  <si>
    <t>Departamento de Seguimiento y Evaluacion</t>
  </si>
  <si>
    <t>Departamento de Seguridad y Vigilancia</t>
  </si>
  <si>
    <t>Departamento de Seguros y Fianzas</t>
  </si>
  <si>
    <t>Departamento de Seleccion de Personal</t>
  </si>
  <si>
    <t>Departamento de Servicios</t>
  </si>
  <si>
    <t>Departamento de Servicios de Impresion</t>
  </si>
  <si>
    <t>Departamento de Servicios Educativos</t>
  </si>
  <si>
    <t>Departamento de Servicios Electronicos</t>
  </si>
  <si>
    <t>Departamento de Servicios Generales</t>
  </si>
  <si>
    <t>Departamento de Servicios Modulares</t>
  </si>
  <si>
    <t>Departamento de Servicios Personales</t>
  </si>
  <si>
    <t>Departamento de Servicios Sociales</t>
  </si>
  <si>
    <t>Departamento de Sistemas</t>
  </si>
  <si>
    <t>Departamento de Sistemas de Ahorro</t>
  </si>
  <si>
    <t>Departamento de Sistemas de Informacion Contable</t>
  </si>
  <si>
    <t>Departamento de Sistemas de Informacion de Tesoreria de la JSCOSIF</t>
  </si>
  <si>
    <t>Departamento de Sistemas de Informacion Programacion Presupuestal de la JSCOSIF</t>
  </si>
  <si>
    <t>Departamento de Sistemas de Informatica Financ</t>
  </si>
  <si>
    <t>Departamento de Sistemas Financieros Delegacionales</t>
  </si>
  <si>
    <t>Departamento de Sistemas Regionales y Locales de Salud</t>
  </si>
  <si>
    <t>Departamento de Sistemas y Enlaces Institucionales</t>
  </si>
  <si>
    <t>Departamento de Soporte Tecnico</t>
  </si>
  <si>
    <t>Departamento de Soporte Tecnico y Documental</t>
  </si>
  <si>
    <t>Departamento de Supervision de Inversiones</t>
  </si>
  <si>
    <t>Departamento de Supervision de las Unidades Medicas</t>
  </si>
  <si>
    <t>Departamento de Supervision Operativa Administrativa y Financiera</t>
  </si>
  <si>
    <t>Departamento de Supervision y Costos Medicos</t>
  </si>
  <si>
    <t>Departamento de Supervision Zona N1</t>
  </si>
  <si>
    <t>Departamento de Supervision Zona N2</t>
  </si>
  <si>
    <t>Departamento de Supervision Zona N3</t>
  </si>
  <si>
    <t>Departamento de Supervision Zona S1</t>
  </si>
  <si>
    <t>Departamento de Supervision Zona S2</t>
  </si>
  <si>
    <t>Departamento de Supervision Zona S3</t>
  </si>
  <si>
    <t>Departamento de Telecomunicaciones</t>
  </si>
  <si>
    <t>Departamento de Telefonia</t>
  </si>
  <si>
    <t>Departamento de Tesoreria</t>
  </si>
  <si>
    <t>Departamento de Tesoreria y Reservas Tecnicas</t>
  </si>
  <si>
    <t>Departamento de Tramites al Personal</t>
  </si>
  <si>
    <t>Departamento de Vigencia de Derechos</t>
  </si>
  <si>
    <t>Departamento de Vigilancia y Control Epidemiologico</t>
  </si>
  <si>
    <t>Departamento de Vivienda</t>
  </si>
  <si>
    <t>Departamento del Centro de Atencion Telefonica</t>
  </si>
  <si>
    <t>Departamento Desarrollo Tecnologico y Equipo</t>
  </si>
  <si>
    <t>Departamento Dictaminadora A</t>
  </si>
  <si>
    <t>Departamento Dictaminadora B</t>
  </si>
  <si>
    <t>Departamento Elaboracion y Supervision de Acuerdos</t>
  </si>
  <si>
    <t>Departamento en la JST</t>
  </si>
  <si>
    <t>Departamento Especializado de Atencion al Publico</t>
  </si>
  <si>
    <t>Departamento Estadistica de Servicios Medicos</t>
  </si>
  <si>
    <t>Departamento Estadistica Demografica y de Prestaciones Economicas y Sociales</t>
  </si>
  <si>
    <t>Departamento Estudios de Desconcentradosoncentracion</t>
  </si>
  <si>
    <t>Departamento Eventos Especiales</t>
  </si>
  <si>
    <t>Departamento Formalizacion y Seguimiento de Contratos</t>
  </si>
  <si>
    <t>Departamento Informacion Compilacion y Analisis</t>
  </si>
  <si>
    <t>Departamento Informacion Estadistica y Presupuestal</t>
  </si>
  <si>
    <t>Departamento Integracion de la Informacion Financiera</t>
  </si>
  <si>
    <t>Departamento Mantto y Servicios Generales</t>
  </si>
  <si>
    <t>Departamento Manuales de Organizacion y Procedimientos</t>
  </si>
  <si>
    <t>Departamento Medicion y Analisis para la Mejora de la Calidad</t>
  </si>
  <si>
    <t>Departamento Ministracion Recursos Financieros</t>
  </si>
  <si>
    <t>Departamento Obligaciones Locales Centrales</t>
  </si>
  <si>
    <t>Departamento Pensiones Riesgos Trabajo y Subsidios</t>
  </si>
  <si>
    <t>Departamento Planeacion y Normatividad</t>
  </si>
  <si>
    <t>Departamento Politica Contable y Programas Institucionales</t>
  </si>
  <si>
    <t>Departamento Politicas y Diseno de Calidad</t>
  </si>
  <si>
    <t>Departamento Prevencion de Riesgos de Trabajo</t>
  </si>
  <si>
    <t>Departamento Procesos y Comite de Adquisiciones</t>
  </si>
  <si>
    <t>Departamento Programacion y Cont Presupuestal</t>
  </si>
  <si>
    <t>Departamento Proyectos y Aseguramiento de la Calidad</t>
  </si>
  <si>
    <t>Departamento Recur Materiales y Servicios Generales</t>
  </si>
  <si>
    <t>Departamento Recursos Financieros</t>
  </si>
  <si>
    <t>Departamento Recursos Humanos</t>
  </si>
  <si>
    <t>Departamento Recursos Materiales y Financieros</t>
  </si>
  <si>
    <t>Departamento Recursos Materiales y Servicios</t>
  </si>
  <si>
    <t>Departamento Regional</t>
  </si>
  <si>
    <t>Departamento Regularizacion Juridica Bienes Inmuebles</t>
  </si>
  <si>
    <t>Departamento Seguimuimiento y Formalizacion de Contratos</t>
  </si>
  <si>
    <t>Departamento Servicios Auxiliares Diagnostico y Tratamiento</t>
  </si>
  <si>
    <t>Departamento Servicios Paramedicos</t>
  </si>
  <si>
    <t>Departamento Sistema Regionales y Locales de Salud</t>
  </si>
  <si>
    <t>Departamento Suministros Consumos y Prestac Soc y Cult</t>
  </si>
  <si>
    <t>Departamento Tecnico</t>
  </si>
  <si>
    <t>Departamento Tecnico Normativo</t>
  </si>
  <si>
    <t>Dermatologia</t>
  </si>
  <si>
    <t>Diabetes por Etapas</t>
  </si>
  <si>
    <t>Dialisis</t>
  </si>
  <si>
    <t>Dibujo Medico</t>
  </si>
  <si>
    <t>Direccion</t>
  </si>
  <si>
    <t>Direccion CH</t>
  </si>
  <si>
    <t>Direccion CMF</t>
  </si>
  <si>
    <t>Direccion de Administracion</t>
  </si>
  <si>
    <t>Direccion de EDN</t>
  </si>
  <si>
    <t>Direccion EBDI</t>
  </si>
  <si>
    <t>Educacion Continua y Divulgacion</t>
  </si>
  <si>
    <t>Educativa</t>
  </si>
  <si>
    <t>Electrodiagnostico</t>
  </si>
  <si>
    <t>Electroencefalografia</t>
  </si>
  <si>
    <t>Endocrinologia</t>
  </si>
  <si>
    <t>Endodoncia</t>
  </si>
  <si>
    <t>Endoscopia</t>
  </si>
  <si>
    <t>Endoscopias</t>
  </si>
  <si>
    <t>Enfermeria Gobierno</t>
  </si>
  <si>
    <t>Enfermeria Sin Riesgos</t>
  </si>
  <si>
    <t>Ensenanza</t>
  </si>
  <si>
    <t>Ensenanza de Postgrado</t>
  </si>
  <si>
    <t>Epidemiologia</t>
  </si>
  <si>
    <t>Escolares y Adolecentes</t>
  </si>
  <si>
    <t>Especialidades Medicas</t>
  </si>
  <si>
    <t>Especialidades Quirurgicas</t>
  </si>
  <si>
    <t>Estadistica</t>
  </si>
  <si>
    <t>Estudios Subrogados</t>
  </si>
  <si>
    <t>Evaluacion Hospitalaria</t>
  </si>
  <si>
    <t>Expedicion de Licencias Medicas</t>
  </si>
  <si>
    <t>Expulsion</t>
  </si>
  <si>
    <t>Extension Hospitalaria</t>
  </si>
  <si>
    <t>Extension Hospitalaria a Domicilio</t>
  </si>
  <si>
    <t>Farmacia</t>
  </si>
  <si>
    <t>Fisica Medica</t>
  </si>
  <si>
    <t>Foniatria y Audiologia</t>
  </si>
  <si>
    <t>Gastroenterologia</t>
  </si>
  <si>
    <t>Gerencia</t>
  </si>
  <si>
    <t>Geriatria</t>
  </si>
  <si>
    <t>Gerontologia</t>
  </si>
  <si>
    <t>Ginecologia de Alta Especialidad</t>
  </si>
  <si>
    <t>Ginecologia y Perinatologia</t>
  </si>
  <si>
    <t>GinecoObstetricia</t>
  </si>
  <si>
    <t>Hematologia</t>
  </si>
  <si>
    <t>Hematologia Pediatrica</t>
  </si>
  <si>
    <t>Hemodialisis</t>
  </si>
  <si>
    <t>Hemodinamia</t>
  </si>
  <si>
    <t>Histopatologia</t>
  </si>
  <si>
    <t>Horno Crematorio</t>
  </si>
  <si>
    <t>Hospitalizacion</t>
  </si>
  <si>
    <t>Imagenologia</t>
  </si>
  <si>
    <t>Incidencias y Archivo</t>
  </si>
  <si>
    <t>Incineradores</t>
  </si>
  <si>
    <t>Infectologia</t>
  </si>
  <si>
    <t>Infectologia Pediatrica</t>
  </si>
  <si>
    <t>Informatica</t>
  </si>
  <si>
    <t>Ingenieria Biomedica</t>
  </si>
  <si>
    <t>Inhaloterapia</t>
  </si>
  <si>
    <t>Inmunologia</t>
  </si>
  <si>
    <t>Integral</t>
  </si>
  <si>
    <t>Intendencia</t>
  </si>
  <si>
    <t>Investigacion Basica</t>
  </si>
  <si>
    <t>Investigacion Clinica</t>
  </si>
  <si>
    <t>Investigacion en Epidemiologia</t>
  </si>
  <si>
    <t>Investigacion y Ensenanza</t>
  </si>
  <si>
    <t>Issstemergencias Base Norte</t>
  </si>
  <si>
    <t>Issstemergencias Base Oriente</t>
  </si>
  <si>
    <t>Issstemergencias Base Poniente</t>
  </si>
  <si>
    <t>Jefatura</t>
  </si>
  <si>
    <t>Jefatura Area Mantenimiento</t>
  </si>
  <si>
    <t>Jefatura de Archivo Clinico</t>
  </si>
  <si>
    <t>Jefatura de Area Abastecimiento y Servicios Generales</t>
  </si>
  <si>
    <t>Jefatura de Enfermeria</t>
  </si>
  <si>
    <t>Jefatura de Mantenimiento</t>
  </si>
  <si>
    <t>Jefatura de Seccion de Atencion Medica</t>
  </si>
  <si>
    <t>Jefatura de Servicios 1 de la SC4</t>
  </si>
  <si>
    <t>Jefatura de Servicios 1 de la SGT</t>
  </si>
  <si>
    <t>Jefatura de Servicios 1 de la SO</t>
  </si>
  <si>
    <t>Jefatura de Servicios 2 de la SC4</t>
  </si>
  <si>
    <t>Jefatura de Servicios 2 de la SGT</t>
  </si>
  <si>
    <t>Jefatura de Servicios Acuerdos de Gestion y Supervision</t>
  </si>
  <si>
    <t>Jefatura de Servicios Administrativos</t>
  </si>
  <si>
    <t>Jefatura de Servicios Adquisicion de Instrumental y Equipo Medico</t>
  </si>
  <si>
    <t>Jefatura de Servicios Adquisicion de Material de Curacion</t>
  </si>
  <si>
    <t>Jefatura de Servicios Adquisiciones</t>
  </si>
  <si>
    <t>Jefatura de Servicios Almacen Regional Centro</t>
  </si>
  <si>
    <t>Jefatura de Servicios Aseguramiento de la Calidad</t>
  </si>
  <si>
    <t>Jefatura de Servicios Asuntos Admvos y Laborales</t>
  </si>
  <si>
    <t>Jefatura de Servicios Asuntos Penales y Medico Legales</t>
  </si>
  <si>
    <t>Jefatura de Servicios Atencion Integral a Jubilados y Pensionados</t>
  </si>
  <si>
    <t>Jefatura de Servicios Consolidacion Edos Financieros y Politica Cont</t>
  </si>
  <si>
    <t>Jefatura de Servicios Consultivos</t>
  </si>
  <si>
    <t>Jefatura de Servicios Control de Bienes</t>
  </si>
  <si>
    <t>Jefatura de Servicios Convenios y Contratos</t>
  </si>
  <si>
    <t>Jefatura de Servicios COSIF</t>
  </si>
  <si>
    <t>Jefatura de Servicios Culturales</t>
  </si>
  <si>
    <t>Jefatura de Servicios de Administracion</t>
  </si>
  <si>
    <t>Jefatura de Servicios de Administracion de Riesgos de Automoviles y Accidentes Personal</t>
  </si>
  <si>
    <t>Jefatura de Servicios de Administracion de Riesgos de Responsabilidad Civil y Fianzas</t>
  </si>
  <si>
    <t>Jefatura de Servicios de Administracion de Riesgos de Vivienda</t>
  </si>
  <si>
    <t>Jefatura de Servicios de Administracion de Riesgos Financieros</t>
  </si>
  <si>
    <t>Jefatura de Servicios de Administracion de Riesgos Operativos</t>
  </si>
  <si>
    <t>Jefatura de Servicios de Adquisiciones de Medicamentos</t>
  </si>
  <si>
    <t>Jefatura de Servicios de Analisis y Evaluacion</t>
  </si>
  <si>
    <t>Jefatura de Servicios de Apoyo a las Adquisiciones</t>
  </si>
  <si>
    <t>Jefatura de Servicios de Asignacion de Derechos</t>
  </si>
  <si>
    <t>Jefatura de Servicios de Asuntos Civiles</t>
  </si>
  <si>
    <t>Jefatura de Servicios de Asuntos Fiscales</t>
  </si>
  <si>
    <t>Jefatura de Servicios de Atencion a Distancia</t>
  </si>
  <si>
    <t>Jefatura de Servicios de Atencion en Oficina</t>
  </si>
  <si>
    <t>Jefatura de Servicios de Atencion Medica Familiar</t>
  </si>
  <si>
    <t>Jefatura de Servicios de Bienes Inmuebles</t>
  </si>
  <si>
    <t>Jefatura de Servicios de Cartera y Cobranza</t>
  </si>
  <si>
    <t>Jefatura de Servicios de Colaboracion con Organismos Internacionales e Instancias Bilaterales</t>
  </si>
  <si>
    <t>Jefatura de Servicios de Comercializacion</t>
  </si>
  <si>
    <t>Jefatura de Servicios de Computo</t>
  </si>
  <si>
    <t>Jefatura de Servicios de Conciliacion y Dictaminacion de Quejas y Reembolsos</t>
  </si>
  <si>
    <t>Jefatura de Servicios de Contratacion</t>
  </si>
  <si>
    <t>Jefatura de Servicios de Control Presupuestal</t>
  </si>
  <si>
    <t>Jefatura de Servicios de Control y Evaluacion</t>
  </si>
  <si>
    <t>Jefatura de Servicios de Control y Seguimiento</t>
  </si>
  <si>
    <t>Jefatura de Servicios de Cooperacion Academica y Eventos Especiales</t>
  </si>
  <si>
    <t>Jefatura de Servicios de Coordinacion de Sistemas de Informacion Financiera</t>
  </si>
  <si>
    <t>Jefatura de Servicios de Coordinación del Centro Nacional de Distribución (CENADI)</t>
  </si>
  <si>
    <t>Jefatura de Servicios de Coordinacion Delegacional</t>
  </si>
  <si>
    <t>Jefatura de Servicios de Coordinacion Operativa del Sistemas Nac de Atencion al Derech</t>
  </si>
  <si>
    <t>Jefatura de Servicios de Coordinacion Operativa del Sistemas Nacional de Afiliacion y Vig</t>
  </si>
  <si>
    <t>Jefatura de Servicios de Coordinacion Tecnica</t>
  </si>
  <si>
    <t>Jefatura de Servicios de Derechos Humanos y Participacion Social</t>
  </si>
  <si>
    <t>Jefatura de Servicios de Desarrollo de la Infraestructura</t>
  </si>
  <si>
    <t>Jefatura de Servicios de Desarrollo Educativo</t>
  </si>
  <si>
    <t>Jefatura de Servicios de Desarrollo Humano</t>
  </si>
  <si>
    <t>Jefatura de Servicios de Diseno</t>
  </si>
  <si>
    <t>Jefatura de Servicios de Egresos</t>
  </si>
  <si>
    <t>Jefatura de Servicios de Enfermeria</t>
  </si>
  <si>
    <t>Jefatura de Servicios de Ensenanza e Investigacion</t>
  </si>
  <si>
    <t>Jefatura de Servicios de Estadistica Institucional</t>
  </si>
  <si>
    <t>Jefatura de Servicios de Estrategia Comercial</t>
  </si>
  <si>
    <t>Jefatura de Servicios de Estrategia de Inversion</t>
  </si>
  <si>
    <t>Jefatura de Servicios de Estudios de Organizacion</t>
  </si>
  <si>
    <t>Jefatura de Servicios de Estudios y Evaluacion de la Competitividad</t>
  </si>
  <si>
    <t>Jefatura de Servicios de Evaluacion del Desempeno Institucional</t>
  </si>
  <si>
    <t>Jefatura de Servicios de Evaluacion y Desarrollo de Proyectos</t>
  </si>
  <si>
    <t>Jefatura de Servicios de Evaluacion y Desempeno Medico</t>
  </si>
  <si>
    <t>Jefatura de Servicios de Finanzas</t>
  </si>
  <si>
    <t>Jefatura de Servicios de Fomento Deportivo</t>
  </si>
  <si>
    <t>Jefatura de Servicios de Gestion e Instrumental</t>
  </si>
  <si>
    <t>Jefatura de Servicios de Incorporacion y Vigencia de Derechos</t>
  </si>
  <si>
    <t>Jefatura de Servicios de Informacion Financiera y Analisis de Riesgos</t>
  </si>
  <si>
    <t>Jefatura de Servicios de Informacion Institucional</t>
  </si>
  <si>
    <t>Jefatura de Servicios de Informacion Integral del Derechohabiente</t>
  </si>
  <si>
    <t>Jefatura de Servicios de Informatica</t>
  </si>
  <si>
    <t>Jefatura de Servicios de Ingenieria</t>
  </si>
  <si>
    <t>Jefatura de Servicios de Innovacion</t>
  </si>
  <si>
    <t>Jefatura de Servicios de Integracion y Registro Fiscal</t>
  </si>
  <si>
    <t>Jefatura de Servicios de Integracion y Seguimiento de Programas</t>
  </si>
  <si>
    <t>Jefatura de Servicios de Inversiones</t>
  </si>
  <si>
    <t>Jefatura de Servicios de lo Consultivo</t>
  </si>
  <si>
    <t>Jefatura de Servicios de lo Contencioso</t>
  </si>
  <si>
    <t>Jefatura de Servicios de Medicina de Especialidades y Hospitalaria</t>
  </si>
  <si>
    <t>Jefatura de Servicios de Ministracion de Recursos Financieros</t>
  </si>
  <si>
    <t>Jefatura de Servicios de Normas de Control y Evaluacion</t>
  </si>
  <si>
    <t>Jefatura de Servicios de Normatividad y Operacion</t>
  </si>
  <si>
    <t>Jefatura de Servicios de Notariado</t>
  </si>
  <si>
    <t>Jefatura de Servicios de Oper de Pagos y Presup</t>
  </si>
  <si>
    <t>Jefatura de Servicios de Operacion en Ventanilla</t>
  </si>
  <si>
    <t>Jefatura de Servicios de Operacion Financiera</t>
  </si>
  <si>
    <t>Jefatura de Servicios de Operacion Financiera y Delegacional</t>
  </si>
  <si>
    <t>Jefatura de Servicios de Operaciones</t>
  </si>
  <si>
    <t>Jefatura de Servicios de Organizacion de Sesiones y Apoyo Logistico</t>
  </si>
  <si>
    <t>Jefatura de Servicios de Orientacion y Vinculacion</t>
  </si>
  <si>
    <t>Jefatura de Servicios de Personal</t>
  </si>
  <si>
    <t>Jefatura de Servicios de Planeacion</t>
  </si>
  <si>
    <t>Jefatura de Servicios de Planeacion y Programacion Institucional</t>
  </si>
  <si>
    <t>Jefatura de Servicios de Politicas Financieras</t>
  </si>
  <si>
    <t>Jefatura de Servicios de Prestaciones</t>
  </si>
  <si>
    <t>Jefatura de Servicios de Presupuesto Desconcentrado</t>
  </si>
  <si>
    <t>Jefatura de Servicios de Presupuesto Institucional</t>
  </si>
  <si>
    <t>Jefatura de Servicios de Presupuesto y Control de Gasto</t>
  </si>
  <si>
    <t>Jefatura de Servicios de Programacion</t>
  </si>
  <si>
    <t>Jefatura de Servicios de Programacion Medica</t>
  </si>
  <si>
    <t>Jefatura de Servicios de Programas de Prevencion y Atencion Medica de Enfer Cronico Deg</t>
  </si>
  <si>
    <t>Jefatura de Servicios de Programas Estrategicos</t>
  </si>
  <si>
    <t>Jefatura de Servicios de Proyectos</t>
  </si>
  <si>
    <t>Jefatura de Servicios de Recaudacion de Ingresos</t>
  </si>
  <si>
    <t>Jefatura de Servicios de Recursos Financieros</t>
  </si>
  <si>
    <t>Jefatura de Servicios de Registro Financiero</t>
  </si>
  <si>
    <t>Jefatura de Servicios de Regulacion y Supervision de la Atencion Medica</t>
  </si>
  <si>
    <t>Jefatura de Servicios de Seguimiento e Integracion de Proyectos</t>
  </si>
  <si>
    <t>Jefatura de Servicios de Seguimiento y Control de Mantenimiento</t>
  </si>
  <si>
    <t>Jefatura de Servicios de Sicora</t>
  </si>
  <si>
    <t>Jefatura de Servicios de Sistemas</t>
  </si>
  <si>
    <t>Jefatura de Servicios de Sistemas de Salud</t>
  </si>
  <si>
    <t>Jefatura de Servicios de Sistematizacion</t>
  </si>
  <si>
    <t>Jefatura de Servicios de Supervision Norte</t>
  </si>
  <si>
    <t>Jefatura de Servicios de Supervision Sur</t>
  </si>
  <si>
    <t>Jefatura de Servicios de Tecnologias de la Informacion</t>
  </si>
  <si>
    <t>Jefatura de Servicios de Telecomunicaciones</t>
  </si>
  <si>
    <t>Jefatura de Servicios Educativos Estancias y Progamas Bienestar y Desarrollo Infantil</t>
  </si>
  <si>
    <t>Jefatura de Servicios Estudios Financieros y Actuariales</t>
  </si>
  <si>
    <t>Jefatura de Servicios Generaless</t>
  </si>
  <si>
    <t>Jefatura de Servicios Juridicos a Organos Colegiados e Institucionales</t>
  </si>
  <si>
    <t>Jefatura de Servicios Medicos</t>
  </si>
  <si>
    <t>Jefatura de Servicios Operacion Central y Organos Desconcentrados</t>
  </si>
  <si>
    <t>Jefatura de Servicios Operativos</t>
  </si>
  <si>
    <t>Jefatura de Servicios Planeacion Tecnica y Analisis</t>
  </si>
  <si>
    <t>Jefatura de Servicios Seguridad Higiene en el Trabajo</t>
  </si>
  <si>
    <t>Jefatura de Servicios Seguridad y Proteccion Civil</t>
  </si>
  <si>
    <t>Jefatura de Servicios Sistema de Informacion</t>
  </si>
  <si>
    <t>Jefatura de Servicios Sistemas de Ahorro para El Ret Sar</t>
  </si>
  <si>
    <t>Jefatura de Servicios Sociales y Recreativos</t>
  </si>
  <si>
    <t>Jefatura de Servicios Tecnicos</t>
  </si>
  <si>
    <t>Jefatura de Servicios Tecnicos y Evaluacion</t>
  </si>
  <si>
    <t>Jefatura de Servicios Vinculacion Sectorial</t>
  </si>
  <si>
    <t>Jefatura de Unidad de Control de Calidad</t>
  </si>
  <si>
    <t>Jefatura de Unidad de Supervision</t>
  </si>
  <si>
    <t>Jefatura Enfermeria Gobierno</t>
  </si>
  <si>
    <t>Jefatura Medica de Terapias</t>
  </si>
  <si>
    <t>Jefatura Recursos Humanos y Financieros</t>
  </si>
  <si>
    <t>Kardex</t>
  </si>
  <si>
    <t>Labor</t>
  </si>
  <si>
    <t>Laboratorio Clinico</t>
  </si>
  <si>
    <t>Laboratorio de Areas Criticas</t>
  </si>
  <si>
    <t>Laboratorio de Estudios Especiales</t>
  </si>
  <si>
    <t>Laboratorio y Analisis Clinicos</t>
  </si>
  <si>
    <t>Laboratorios de Analisis Clinicos</t>
  </si>
  <si>
    <t>Lactantes y Preescolares</t>
  </si>
  <si>
    <t>Lavanderia</t>
  </si>
  <si>
    <t>Lavanderia y Roperia</t>
  </si>
  <si>
    <t>Licencias Medicas</t>
  </si>
  <si>
    <t>Mantenimiento</t>
  </si>
  <si>
    <t>Mantenimiento Especializado</t>
  </si>
  <si>
    <t>Medicina Critica</t>
  </si>
  <si>
    <t>Medicina del Trabajo</t>
  </si>
  <si>
    <t>Medicina Familiar y/o General</t>
  </si>
  <si>
    <t>Medicina Fisica</t>
  </si>
  <si>
    <t>Medicina Fisica y Rehabilitacion</t>
  </si>
  <si>
    <t>Medicina Interna</t>
  </si>
  <si>
    <t>Medicina Interna Pediatrica</t>
  </si>
  <si>
    <t>Medicina Legal</t>
  </si>
  <si>
    <t>Medicina Materno Fetal</t>
  </si>
  <si>
    <t>Medicina Nuclear</t>
  </si>
  <si>
    <t>Medicina Preventiva</t>
  </si>
  <si>
    <t>Mercancias Generales</t>
  </si>
  <si>
    <t>Modulo de Orientacion y Atencion al Derechohabiente</t>
  </si>
  <si>
    <t>Mostrador</t>
  </si>
  <si>
    <t>Movimientos de Personal</t>
  </si>
  <si>
    <t>Nefrologia</t>
  </si>
  <si>
    <t>Nefrologia Pediatrica</t>
  </si>
  <si>
    <t>Neonatologia</t>
  </si>
  <si>
    <t>Neumologia</t>
  </si>
  <si>
    <t>Neurocirugia</t>
  </si>
  <si>
    <t>Neurofisiologia Clinica</t>
  </si>
  <si>
    <t>Neurologia</t>
  </si>
  <si>
    <t>Neurologia Adultos</t>
  </si>
  <si>
    <t>Neurologia Pediatrica</t>
  </si>
  <si>
    <t>Niveles Academicos</t>
  </si>
  <si>
    <t>No Tiene Servicio</t>
  </si>
  <si>
    <t>Nominas</t>
  </si>
  <si>
    <t>Normatividad y Apoyo a las Adquisiciones</t>
  </si>
  <si>
    <t>Nutricion</t>
  </si>
  <si>
    <t>Obstetricia</t>
  </si>
  <si>
    <t>Odontogeriatria</t>
  </si>
  <si>
    <t>Odontologia</t>
  </si>
  <si>
    <t>Odontologia Especializada</t>
  </si>
  <si>
    <t>Odontopediatria</t>
  </si>
  <si>
    <t>Oficialia de Partes</t>
  </si>
  <si>
    <t>Oftalmologia</t>
  </si>
  <si>
    <t>Oncologia</t>
  </si>
  <si>
    <t>Oncologia Clinica</t>
  </si>
  <si>
    <t>Oncologia Medica</t>
  </si>
  <si>
    <t>Oncologia Pediatrica</t>
  </si>
  <si>
    <t>Oncologia Quirurgica</t>
  </si>
  <si>
    <t>Orientacion e Informacion</t>
  </si>
  <si>
    <t>Ortodoncia</t>
  </si>
  <si>
    <t>Ortopedia</t>
  </si>
  <si>
    <t>Ortopedia y Traumatologia</t>
  </si>
  <si>
    <t>Otorrinolaringologia</t>
  </si>
  <si>
    <t>Pago de Sueldos</t>
  </si>
  <si>
    <t>Paidopsiquiatria</t>
  </si>
  <si>
    <t>Parodoncia</t>
  </si>
  <si>
    <t>Pediatria</t>
  </si>
  <si>
    <t>Perfumeria</t>
  </si>
  <si>
    <t>Perinatologia</t>
  </si>
  <si>
    <t>Plantillas de Personal</t>
  </si>
  <si>
    <t>Prestaciones y Servicios</t>
  </si>
  <si>
    <t>Prevenissste</t>
  </si>
  <si>
    <t>Previsible</t>
  </si>
  <si>
    <t>Proctologia</t>
  </si>
  <si>
    <t>Programacion y Operacion</t>
  </si>
  <si>
    <t>Promocion y Ventas</t>
  </si>
  <si>
    <t>Prosecretaria de la Junta Directiva</t>
  </si>
  <si>
    <t>Protesis Fija</t>
  </si>
  <si>
    <t>Protesis Removible</t>
  </si>
  <si>
    <t>Psicologia</t>
  </si>
  <si>
    <t>Psiquiatria</t>
  </si>
  <si>
    <t>Quirofano</t>
  </si>
  <si>
    <t>Quirofanos</t>
  </si>
  <si>
    <t>Radiodiagnostico</t>
  </si>
  <si>
    <t>Radiologia</t>
  </si>
  <si>
    <t>Radiologia e Imagen</t>
  </si>
  <si>
    <t>Radioterapia</t>
  </si>
  <si>
    <t>Recepcion de Consulta Externa</t>
  </si>
  <si>
    <t>Recuperacion</t>
  </si>
  <si>
    <t>Recuperacion GinecoObstetricia</t>
  </si>
  <si>
    <t>Recuperacion Postquirurgica</t>
  </si>
  <si>
    <t>Recursos Financieros</t>
  </si>
  <si>
    <t>Recursos Humanos</t>
  </si>
  <si>
    <t>Recursos Humanos y Financieros</t>
  </si>
  <si>
    <t>Referencia y Contrareferencia</t>
  </si>
  <si>
    <t>Registro y Control de Asistencia</t>
  </si>
  <si>
    <t>Registro y Vigencia de Derechos</t>
  </si>
  <si>
    <t>Relaciones Hospitalarias</t>
  </si>
  <si>
    <t>Representacion Estatal</t>
  </si>
  <si>
    <t>Reproduccion Humana</t>
  </si>
  <si>
    <t>Residencia de Mantenimiento</t>
  </si>
  <si>
    <t>Reumatologia</t>
  </si>
  <si>
    <t>Ropa</t>
  </si>
  <si>
    <t>Roperia</t>
  </si>
  <si>
    <t>Salud Reproductiva</t>
  </si>
  <si>
    <t>Secretaria Particular</t>
  </si>
  <si>
    <t>Servicio al Paciente Ambulatorio</t>
  </si>
  <si>
    <t>Servicios de Apoyo Camilleros</t>
  </si>
  <si>
    <t>Servicios de Velatorio</t>
  </si>
  <si>
    <t>Servicios Perifericos</t>
  </si>
  <si>
    <t>Sin Servicio</t>
  </si>
  <si>
    <t>Subcontraloria Comercial</t>
  </si>
  <si>
    <t>Subcontraloria de Inversiones</t>
  </si>
  <si>
    <t>Subcontraloria de Operaciones</t>
  </si>
  <si>
    <t>Subcoordinacion de Gobernanza Tecnologica</t>
  </si>
  <si>
    <t>Subcoordinacion de Infraestructura Tecnologica y Seguridad</t>
  </si>
  <si>
    <t>Subcoordinacion de la SC4</t>
  </si>
  <si>
    <t>Subcoordinacion de Operaciones</t>
  </si>
  <si>
    <t>Subcoordinacion Evaluacion de Politicas Institucional</t>
  </si>
  <si>
    <t>Subdireccion Administrativa</t>
  </si>
  <si>
    <t>Subdireccion Administrativa CMF</t>
  </si>
  <si>
    <t>Subdireccion Comercial</t>
  </si>
  <si>
    <t>Subdireccion de Administracion de Riesgos Instucional y Fianzas</t>
  </si>
  <si>
    <t>Subdireccion de Administracion Integral de Riesgos</t>
  </si>
  <si>
    <t>Subdireccion de Afiliacion y Vigencia</t>
  </si>
  <si>
    <t>Subdireccion de Capacitacion y Servicios Educativosiv</t>
  </si>
  <si>
    <t>Subdireccion de Finanzas y Administracion</t>
  </si>
  <si>
    <t>Subdireccion de Gestion y Evaluacion en Salud</t>
  </si>
  <si>
    <t>Subdireccion de Infraestructura Medica</t>
  </si>
  <si>
    <t>Subdireccion de Investigacion y Ensenanza</t>
  </si>
  <si>
    <t>Subdireccion de Niveles Academicos</t>
  </si>
  <si>
    <t>Subdireccion de Operaciones y Sistema</t>
  </si>
  <si>
    <t>Subdireccion de Planeacion y Evaluacion del Desempeno Institucional</t>
  </si>
  <si>
    <t>Subdireccion de Supervision</t>
  </si>
  <si>
    <t>Subdireccion Especializada de Atencion al Publico</t>
  </si>
  <si>
    <t>Subdireccion Medica</t>
  </si>
  <si>
    <t>Subdireccion Medica CH</t>
  </si>
  <si>
    <t>Subdireccion Medica CMF</t>
  </si>
  <si>
    <t>Subdireccion Notariado y Bienes Inmuebles</t>
  </si>
  <si>
    <t>Subdireccion Planeacion Financieros Evaluacion Institucional</t>
  </si>
  <si>
    <t>Subdireccion Programacion y Presupuesto</t>
  </si>
  <si>
    <t>Subgerencia</t>
  </si>
  <si>
    <t>Supervision</t>
  </si>
  <si>
    <t>Supervision y Operacion</t>
  </si>
  <si>
    <t>Telemedicina</t>
  </si>
  <si>
    <t>Terapia Fisica</t>
  </si>
  <si>
    <t>Terapia Intensiva</t>
  </si>
  <si>
    <t>Terapia Intensiva Pediatria</t>
  </si>
  <si>
    <t>Terapia Intermedia</t>
  </si>
  <si>
    <t>Terapia Ocupacional</t>
  </si>
  <si>
    <t>Tesoreria</t>
  </si>
  <si>
    <t>Tococirugia</t>
  </si>
  <si>
    <t>Tomaduria de Tiempo</t>
  </si>
  <si>
    <t>Trabajo Social</t>
  </si>
  <si>
    <t>Transplantes</t>
  </si>
  <si>
    <t>Transportes</t>
  </si>
  <si>
    <t>Traslado de Pacientes</t>
  </si>
  <si>
    <t>Traumatologia</t>
  </si>
  <si>
    <t>Traumatologia y Ortopedia</t>
  </si>
  <si>
    <t>Unidad  Atencion al Derechoahabiente y Comunicacion  Social</t>
  </si>
  <si>
    <t>Unidad Atencion a Peticiones Vinculadas con Tramites y Servicios</t>
  </si>
  <si>
    <t>Unidad Atencion al Derechohabiente y Comunicacion Social</t>
  </si>
  <si>
    <t>Unidad Atencion Primaria para Salud Uaps</t>
  </si>
  <si>
    <t>Unidad Auditoria a Obra Publica Adq y Servicios</t>
  </si>
  <si>
    <t>Unidad Auditoria Adquisiciones y Servicios</t>
  </si>
  <si>
    <t>Unidad Auditoria Finanzas Recursos Humanos y Prestaciones</t>
  </si>
  <si>
    <t>Unidad Coronaria</t>
  </si>
  <si>
    <t>Unidad de Abastos</t>
  </si>
  <si>
    <t>Unidad de Asuntos Juridicos</t>
  </si>
  <si>
    <t>Unidad de Atencion a Peticiones Relac con Servicios Pub</t>
  </si>
  <si>
    <t>Unidad de Auditoria a Obra Publica Adqusiciones y Servicios</t>
  </si>
  <si>
    <t>Unidad de Control Presupuestal y Recursos Materiales</t>
  </si>
  <si>
    <t>Unidad de Control y Gestion de Recursos Humanos</t>
  </si>
  <si>
    <t>Unidad de Cuidados Intensivos Neonatales</t>
  </si>
  <si>
    <t>Unidad de Evaluacion a Control Interno</t>
  </si>
  <si>
    <t>Unidad de Inconformidades</t>
  </si>
  <si>
    <t>Unidad de Informacion y Analisis Estrategico</t>
  </si>
  <si>
    <t>Unidad de Prestaciones Economicas</t>
  </si>
  <si>
    <t>Unidad de Responsabilidades</t>
  </si>
  <si>
    <t>Unidad de Servicios de Credito Nº 4 Sep</t>
  </si>
  <si>
    <t>Unidad de Supervision y Control</t>
  </si>
  <si>
    <t>Unidad de Terapia Intensiva Adultos</t>
  </si>
  <si>
    <t>Unidad de Terapia Intensiva Pediatrica</t>
  </si>
  <si>
    <t>Unidad Obligac Fiscales Institucionales</t>
  </si>
  <si>
    <t>Urgencias</t>
  </si>
  <si>
    <t>Urgencias CMF</t>
  </si>
  <si>
    <t>Urgencias Obstetricia</t>
  </si>
  <si>
    <t>Urgencias Pediatria</t>
  </si>
  <si>
    <t>Urologia</t>
  </si>
  <si>
    <t>Vigencia de Derechos</t>
  </si>
  <si>
    <t>Visitas Domiciliarias</t>
  </si>
  <si>
    <t>Vocalia Ejecutiva PENSIONISSSTE</t>
  </si>
  <si>
    <t>Servicio</t>
  </si>
  <si>
    <t>Servicio_tipo</t>
  </si>
  <si>
    <t>Servicios</t>
  </si>
  <si>
    <t>ACB</t>
  </si>
  <si>
    <t>AD USUARIO</t>
  </si>
  <si>
    <t>ABC</t>
  </si>
  <si>
    <t>AD-EX USUARIO Y CUENTA DE CORREO</t>
  </si>
  <si>
    <t>PERFILES_DE_ACCESO_A_INTERNET</t>
  </si>
  <si>
    <t>EX CUENTA DE CORREO</t>
  </si>
  <si>
    <t>Perfiles de acceso a internet</t>
  </si>
  <si>
    <t>DIRECTIVO</t>
  </si>
  <si>
    <t>ADMINISTRATIVO ELEVADO</t>
  </si>
  <si>
    <t>MEDICO ELEVADO</t>
  </si>
  <si>
    <t>ADMINISTRATIVO BASICO</t>
  </si>
  <si>
    <t>MEDICO BASICO</t>
  </si>
  <si>
    <t>BASICO</t>
  </si>
  <si>
    <t>COMUNICACIÓN SOCIAL</t>
  </si>
  <si>
    <t>ENSEÑANZA</t>
  </si>
  <si>
    <t>llave</t>
  </si>
  <si>
    <t>Tipo de solicitud</t>
  </si>
  <si>
    <t>Si el tipo de solicitud es una alta de perfil de acceso a internet, favor de indicar el usuario de dominio al que se le asignará dicho perfil.</t>
  </si>
  <si>
    <t>BAJA</t>
  </si>
  <si>
    <t>Si el tipo de solicitud es una baja de perfil de acceso a internet, favor de indicar el usuario de dominio al que se le retirará dicho perfil.</t>
  </si>
  <si>
    <t>CAMBIO</t>
  </si>
  <si>
    <t>Indique el detalle de la modificación de los datos a realizar.</t>
  </si>
  <si>
    <t>Si el tipo de solicitud es un cambio de perfil de acceso a internet, favor de indicar el usuario de dominio al que se le asignara dicho perfil.</t>
  </si>
  <si>
    <t>GTIST000091</t>
  </si>
  <si>
    <t>Si el tipo de solicitud es de Licencia para Office 365, favor de indicar el detalle de las funciones del usuario que lo justifique.</t>
  </si>
  <si>
    <t>Departamento de Control de Recursos Informaticos</t>
  </si>
  <si>
    <t>Departamento de Programacion Desconcentrados</t>
  </si>
  <si>
    <t>Quimioterapia Cir Corta Estancia</t>
  </si>
  <si>
    <t>SUPERISSSTE</t>
  </si>
  <si>
    <t>Calle 7 No. 240 Por 34 Col. Pensiones</t>
  </si>
  <si>
    <t>En caso de solicitar un alta de usuario y/o de cuenta de correo electrónico para personal operativo, favor de indicar el detalle de las funciones del usuario que lo justifique.</t>
  </si>
  <si>
    <t>En caso de solicitar un alta de perfil de acceso a internet, favor de indicar el detalle de las funciones del usuario que lo justifique.</t>
  </si>
  <si>
    <t>Indique el motivo de la baja del usuario de dominio y/o cuenta de correo electrónico.</t>
  </si>
  <si>
    <t>En caso de solicitar una baja de perfil de acceso a internet, favor de indicar el detalle de las funciones del usuario que lo justifique.</t>
  </si>
  <si>
    <t>En caso de solicitar un cambio de perfil de acceso a internet, favor de indicar el detalle de las funciones del usuario que lo justifique.</t>
  </si>
  <si>
    <t>Si el tipo de solicitud es un cambio, favor de ingresar el usuario de dominio  y/o cuenta de correo electrónico al que se le solicita la actualización de la información.</t>
  </si>
  <si>
    <t>Indique el usuario de dominio y/o cuenta de correo electrónico que se dará de baja.</t>
  </si>
  <si>
    <t>Si el tipo de solicitud es una alta de usuario y/o cuenta de correo electrónico de nuevo ingreso, previamente debe levantar el ticket de la baja del servidor publico que deja el cargo e indicar el usuario y No. de ticket.</t>
  </si>
  <si>
    <t>UMF Chilchota</t>
  </si>
  <si>
    <t>Barrio de Dos Caminos Chicontepec de Tejada Veracruz Col. Centro</t>
  </si>
  <si>
    <t>Carretera Nacional SN, Col. Centro</t>
  </si>
  <si>
    <t>Michoacan-UMF Chilchota</t>
  </si>
  <si>
    <t>UMF Tepalcatepec</t>
  </si>
  <si>
    <t>016_209_02_UMF_Chilchota</t>
  </si>
  <si>
    <t>Tabasco-HG Villahermosa</t>
  </si>
  <si>
    <t>027_204_00_HG_Villahermosa</t>
  </si>
  <si>
    <t>HG Villahermosa</t>
  </si>
  <si>
    <t>Nayarit-HG Tepic</t>
  </si>
  <si>
    <t>018_204_00_HG_Tepic</t>
  </si>
  <si>
    <t>HG Tepic</t>
  </si>
  <si>
    <t>SUBDIRECCIÓN DE TECNOLOGÍA DE LA INFORMACIÓN SUBCOORDINACIÓN DE GOBERNANZA TECNOLÓGICA</t>
  </si>
  <si>
    <t>DEPARTAMENTO DE SERVICIOS DE INTERNET</t>
  </si>
  <si>
    <t>8.0</t>
  </si>
  <si>
    <t xml:space="preserve">SERVICIOS DE INTERNET </t>
  </si>
  <si>
    <t>CÉDULA DE CONTROL DE USUARIOS DE SERVICIOS DE COMUNICACIÓN</t>
  </si>
  <si>
    <t>JEFE DE SERVICIOS O SUPERIOR</t>
  </si>
  <si>
    <t>LICENCIA</t>
  </si>
  <si>
    <t>Licencia Office 365</t>
  </si>
  <si>
    <t>ALTA - ABC - AD USUARIO</t>
  </si>
  <si>
    <t>ALTA - ABC - AD-EX USUARIO Y CUENTA DE CORREO</t>
  </si>
  <si>
    <t>ALTA - ABC - EX CUENTA DE CORREO</t>
  </si>
  <si>
    <t>ALTA - LICENCIA - Licencia Office 365</t>
  </si>
  <si>
    <t>ALTA - PERFILES_DE_ACCESO_A_INTERNET - DIRECTIVO</t>
  </si>
  <si>
    <t>ALTA - PERFILES_DE_ACCESO_A_INTERNET - ADMINISTRATIVO ELEVADO</t>
  </si>
  <si>
    <t>ALTA - PERFILES_DE_ACCESO_A_INTERNET - MEDICO ELEVADO</t>
  </si>
  <si>
    <t>ALTA - PERFILES_DE_ACCESO_A_INTERNET - ADMINISTRATIVO BASICO</t>
  </si>
  <si>
    <t>ALTA - PERFILES_DE_ACCESO_A_INTERNET - MEDICO BASICO</t>
  </si>
  <si>
    <t>ALTA - PERFILES_DE_ACCESO_A_INTERNET - BASICO</t>
  </si>
  <si>
    <t>ALTA - PERFILES_DE_ACCESO_A_INTERNET - COMUNICACIÓN SOCIAL</t>
  </si>
  <si>
    <t>ALTA - PERFILES_DE_ACCESO_A_INTERNET - ENSEÑANZA</t>
  </si>
  <si>
    <t>BAJA - ABC - AD USUARIO</t>
  </si>
  <si>
    <t>BAJA - ABC - AD-EX USUARIO Y CUENTA DE CORREO</t>
  </si>
  <si>
    <t>BAJA - ABC - EX CUENTA DE CORREO</t>
  </si>
  <si>
    <t>BAJA - PERFILES_DE_ACCESO_A_INTERNET - ADMINISTRATIVO BASICO</t>
  </si>
  <si>
    <t>BAJA - PERFILES_DE_ACCESO_A_INTERNET - ADMINISTRATIVO ELEVADO</t>
  </si>
  <si>
    <t>BAJA - PERFILES_DE_ACCESO_A_INTERNET - BASICO</t>
  </si>
  <si>
    <t>BAJA - PERFILES_DE_ACCESO_A_INTERNET - COMUNICACIÓN SOCIAL</t>
  </si>
  <si>
    <t>BAJA - PERFILES_DE_ACCESO_A_INTERNET - DIRECTIVO</t>
  </si>
  <si>
    <t>BAJA - PERFILES_DE_ACCESO_A_INTERNET - ENSEÑANZA</t>
  </si>
  <si>
    <t>BAJA - PERFILES_DE_ACCESO_A_INTERNET - MEDICO BASICO</t>
  </si>
  <si>
    <t>BAJA - PERFILES_DE_ACCESO_A_INTERNET - MEDICO ELEVADO</t>
  </si>
  <si>
    <t>CAMBIO - ABC - AD USUARIO</t>
  </si>
  <si>
    <t>CAMBIO - ABC - AD-EX USUARIO Y CUENTA DE CORREO</t>
  </si>
  <si>
    <t>CAMBIO - ABC - EX CUENTA DE CORREO</t>
  </si>
  <si>
    <t>CAMBIO - PERFILES_DE_ACCESO_A_INTERNET - ADMINISTRATIVO BASICO</t>
  </si>
  <si>
    <t>CAMBIO - PERFILES_DE_ACCESO_A_INTERNET - ADMINISTRATIVO ELEVADO</t>
  </si>
  <si>
    <t>CAMBIO - PERFILES_DE_ACCESO_A_INTERNET - BASICO</t>
  </si>
  <si>
    <t>CAMBIO - PERFILES_DE_ACCESO_A_INTERNET - COMUNICACIÓN SOCIAL</t>
  </si>
  <si>
    <t>CAMBIO - PERFILES_DE_ACCESO_A_INTERNET - DIRECTIVO</t>
  </si>
  <si>
    <t>CAMBIO - PERFILES_DE_ACCESO_A_INTERNET - ENSEÑANZA</t>
  </si>
  <si>
    <t>CAMBIO - PERFILES_DE_ACCESO_A_INTERNET - MEDICO BASICO</t>
  </si>
  <si>
    <t>CAMBIO - PERFILES_DE_ACCESO_A_INTERNET - MEDICO ELEVADO</t>
  </si>
  <si>
    <t>Si el tipo de solicitud es de Licencia para Office 365 ,favor de adjuntar en formato PDF la evidencia donde se visualice el usuario y la version de Office, el hostname y dirección IP.</t>
  </si>
  <si>
    <t>Si el tipo de solicitud es una alta de usuario de nuevo ingreso, previamente debe levantar el ticket de la baja del servidor publico que deja el cargo e indicar el usuario y No. de ticket.</t>
  </si>
  <si>
    <t>En caso de solicitar un alta de usuario para personal operativo, favor de indicar el detalle de las funciones del usuario que lo justifique.</t>
  </si>
  <si>
    <t>En caso de solicitar un alta de cuenta de correo electrónico para personal operativo, favor de indicar el detalle de las funciones del usuario que lo justifique.</t>
  </si>
  <si>
    <t>Si el tipo de solicitud es una alta de cuenta de correo electrónico, previamente debe levantar el ticket de la baja del servidor publico que deja el cargo e indicar el usuario y No. de ticket.</t>
  </si>
  <si>
    <t>Le solicitamos que cumpla con los principios y directrices establecidos en el artículo 7, fracciones I y VI de la Ley General de Responsabilidades Administrativas que a la letra dice:  “Artículo 7. Las personas Servidoras Publicas observarán en el desempeño de su empleo, cargo o comisión, los principios de austeridad, disciplina, legalidad, objetividad, profesionalismo, honradez, lealtad, imparcialidad, integridad, rendición de cuentas, eficacia y eficiencia y racionalidad en el uso de los recursos públicos, mismos que rigen el servicio público.</t>
  </si>
  <si>
    <t>Departamento de Servicios de Internet</t>
  </si>
  <si>
    <t>Indique el usuario de dominio  que se dará de baja.</t>
  </si>
  <si>
    <t>Indique el motivo de la baja del usuario de dominio.</t>
  </si>
  <si>
    <t>Indique la cuenta de correo electrónico que se dará de baja.</t>
  </si>
  <si>
    <t>Indique el motivo de la baja de la cuenta de correo electrónico.</t>
  </si>
  <si>
    <t>Insurgentes Sur 1958, Florida, 01030, Álvaro Obregón, CDMX México</t>
  </si>
  <si>
    <t>Insurgentes Sur 1958, Col. Florida</t>
  </si>
  <si>
    <t>Si el tipo de solicitud es un cambio, favor de ingresar el usuario de dominio al que se le solicita la actualización de la información.</t>
  </si>
  <si>
    <t>Estructura</t>
  </si>
  <si>
    <t>Brenda Berenice Hernández Herrera</t>
  </si>
  <si>
    <t>Hugo Landero López</t>
  </si>
  <si>
    <t>Zaira</t>
  </si>
  <si>
    <t>Colorado Rodríguez</t>
  </si>
  <si>
    <t>440538</t>
  </si>
  <si>
    <t>03020400-23DN05</t>
  </si>
  <si>
    <t>192.160.197.228</t>
  </si>
  <si>
    <t>Se solicita alta de usuario de correo electrónico y equipo de computo institucional para realizar solicitudes de los insumos en el sistema SIAM asi como para la recepción y control de las altas y bajas de los medicamentos e insumos hospitalarios y para facilitar las funciones que le fueron asignadas, asi como para el manejo de los equipos del área de farmacia.</t>
  </si>
  <si>
    <t>Dr. Samuel Ferrer Palacios</t>
  </si>
  <si>
    <t>Se solicita alta de usuario de correo electrónico y equipo de computo institucional para realizar actividades como Subdirector Médico en la Clinica Hospital ISSSTE Xalapa.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</si>
</sst>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d\-mmm\-yy;@"/>
    <numFmt numFmtId="167" formatCode="00000"/>
    <numFmt numFmtId="168" formatCode="_(* #\,##0\.00_);_(* \(#\,##0\.00\);_(* &quot;-&quot;??_);_(@_)"/>
    <numFmt numFmtId="169" formatCode="#,##0.00_ ;\-#,##0.00\ "/>
    <numFmt numFmtId="170" formatCode="_-* #,##0.00\ _€_-;\-* #,##0.00\ _€_-;_-* &quot;-&quot;??\ _€_-;_-@_-"/>
  </numFmts>
  <fonts count="3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0"/>
      <color theme="1"/>
      <name val="Geomanist"/>
      <family val="3"/>
    </font>
    <font>
      <sz val="11"/>
      <color theme="1"/>
      <name val="Noto Sans"/>
      <family val="2"/>
    </font>
    <font>
      <sz val="9"/>
      <color theme="1"/>
      <name val="Noto Sans"/>
      <family val="2"/>
    </font>
    <font>
      <b/>
      <sz val="10"/>
      <color theme="1"/>
      <name val="Noto Sans"/>
      <family val="2"/>
    </font>
    <font>
      <b/>
      <sz val="8"/>
      <color theme="1"/>
      <name val="Noto Sans"/>
      <family val="2"/>
    </font>
    <font>
      <b/>
      <sz val="8"/>
      <color rgb="FF9D2449"/>
      <name val="Noto Sans"/>
      <family val="2"/>
    </font>
    <font>
      <sz val="8"/>
      <color theme="1"/>
      <name val="Noto Sans"/>
      <family val="2"/>
    </font>
    <font>
      <sz val="10"/>
      <color theme="1"/>
      <name val="Noto Sans"/>
      <family val="2"/>
    </font>
    <font>
      <b/>
      <i/>
      <sz val="8"/>
      <color rgb="FF9D2449"/>
      <name val="Noto Sans"/>
      <family val="2"/>
    </font>
    <font>
      <b/>
      <sz val="8"/>
      <name val="Noto Sans"/>
      <family val="2"/>
    </font>
    <font>
      <sz val="8"/>
      <color rgb="FFFF0000"/>
      <name val="Noto Sans"/>
      <family val="2"/>
    </font>
    <font>
      <b/>
      <sz val="9"/>
      <color theme="2"/>
      <name val="Noto Sans"/>
      <family val="2"/>
    </font>
    <font>
      <sz val="11"/>
      <name val="Noto Sans"/>
      <family val="2"/>
    </font>
    <font>
      <u/>
      <sz val="11"/>
      <color theme="10"/>
      <name val="Noto Sans"/>
      <family val="2"/>
    </font>
    <font>
      <b/>
      <sz val="10"/>
      <color rgb="FF000000"/>
      <name val="Noto Sans"/>
      <family val="2"/>
    </font>
    <font>
      <sz val="10"/>
      <color rgb="FF000000"/>
      <name val="Noto Sans"/>
      <family val="2"/>
    </font>
    <font>
      <b/>
      <sz val="9"/>
      <color theme="1"/>
      <name val="Noto Sans"/>
      <family val="2"/>
    </font>
    <font>
      <b/>
      <i/>
      <sz val="8"/>
      <color theme="1"/>
      <name val="Noto Sans"/>
      <family val="2"/>
    </font>
    <font>
      <sz val="8"/>
      <name val="Noto Sans"/>
      <family val="2"/>
    </font>
    <font>
      <b/>
      <sz val="8"/>
      <color theme="2"/>
      <name val="Noto Sans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sz val="12"/>
      <name val="Geomanist Light"/>
      <family val="3"/>
    </font>
    <font>
      <sz val="8"/>
      <name val="Arial"/>
    </font>
    <font>
      <sz val="11"/>
      <color rgb="FF242424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rgb="FF9D2449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A6A6A6"/>
        <bgColor rgb="FFE7E6E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2">
    <xf numFmtId="0" fontId="0" fillId="0" borderId="0"/>
    <xf numFmtId="166" fontId="6" fillId="0" borderId="1"/>
    <xf numFmtId="0" fontId="5" fillId="0" borderId="1"/>
    <xf numFmtId="0" fontId="4" fillId="0" borderId="1"/>
    <xf numFmtId="0" fontId="3" fillId="0" borderId="1"/>
    <xf numFmtId="0" fontId="8" fillId="0" borderId="1"/>
    <xf numFmtId="166" fontId="3" fillId="0" borderId="1"/>
    <xf numFmtId="0" fontId="3" fillId="0" borderId="1"/>
    <xf numFmtId="0" fontId="9" fillId="0" borderId="1"/>
    <xf numFmtId="168" fontId="9" fillId="0" borderId="1" applyFont="0" applyFill="0" applyBorder="0" applyAlignment="0" applyProtection="0"/>
    <xf numFmtId="0" fontId="9" fillId="0" borderId="1"/>
    <xf numFmtId="0" fontId="9" fillId="0" borderId="1"/>
    <xf numFmtId="0" fontId="3" fillId="0" borderId="1"/>
    <xf numFmtId="169" fontId="9" fillId="0" borderId="1"/>
    <xf numFmtId="0" fontId="10" fillId="0" borderId="1" applyNumberFormat="0" applyFill="0" applyBorder="0" applyAlignment="0" applyProtection="0">
      <alignment vertical="top"/>
      <protection locked="0"/>
    </xf>
    <xf numFmtId="170" fontId="9" fillId="0" borderId="1" applyFont="0" applyFill="0" applyBorder="0" applyAlignment="0" applyProtection="0"/>
    <xf numFmtId="170" fontId="9" fillId="0" borderId="1" applyFont="0" applyFill="0" applyBorder="0" applyAlignment="0" applyProtection="0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9" fillId="0" borderId="1" applyFont="0" applyFill="0" applyBorder="0" applyAlignment="0" applyProtection="0"/>
    <xf numFmtId="164" fontId="11" fillId="0" borderId="1" applyFont="0" applyFill="0" applyBorder="0" applyAlignment="0" applyProtection="0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9" fontId="11" fillId="0" borderId="1" applyFont="0" applyFill="0" applyBorder="0" applyAlignment="0" applyProtection="0"/>
    <xf numFmtId="9" fontId="3" fillId="0" borderId="1" applyFont="0" applyFill="0" applyBorder="0" applyAlignment="0" applyProtection="0"/>
    <xf numFmtId="9" fontId="3" fillId="0" borderId="1" applyFont="0" applyFill="0" applyBorder="0" applyAlignment="0" applyProtection="0"/>
    <xf numFmtId="0" fontId="9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11" fillId="0" borderId="1" applyFont="0" applyFill="0" applyBorder="0" applyAlignment="0" applyProtection="0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11" fillId="0" borderId="1" applyFont="0" applyFill="0" applyBorder="0" applyAlignment="0" applyProtection="0"/>
    <xf numFmtId="0" fontId="3" fillId="0" borderId="1"/>
    <xf numFmtId="0" fontId="2" fillId="0" borderId="1"/>
    <xf numFmtId="166" fontId="2" fillId="0" borderId="1"/>
    <xf numFmtId="0" fontId="2" fillId="0" borderId="1"/>
    <xf numFmtId="0" fontId="2" fillId="0" borderId="1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9" fillId="0" borderId="1" applyFont="0" applyFill="0" applyBorder="0" applyAlignment="0" applyProtection="0"/>
    <xf numFmtId="164" fontId="11" fillId="0" borderId="1" applyFont="0" applyFill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11" fillId="0" borderId="1" applyFont="0" applyFill="0" applyBorder="0" applyAlignment="0" applyProtection="0"/>
    <xf numFmtId="165" fontId="11" fillId="0" borderId="1" applyFont="0" applyFill="0" applyBorder="0" applyAlignment="0" applyProtection="0"/>
    <xf numFmtId="165" fontId="9" fillId="0" borderId="1" applyFill="0" applyBorder="0" applyAlignment="0" applyProtection="0"/>
    <xf numFmtId="164" fontId="11" fillId="0" borderId="1" applyFont="0" applyFill="0" applyBorder="0" applyAlignment="0" applyProtection="0"/>
    <xf numFmtId="0" fontId="2" fillId="0" borderId="1"/>
    <xf numFmtId="0" fontId="12" fillId="0" borderId="0" applyNumberFormat="0" applyFill="0" applyBorder="0" applyAlignment="0" applyProtection="0"/>
    <xf numFmtId="0" fontId="1" fillId="0" borderId="1"/>
    <xf numFmtId="0" fontId="8" fillId="0" borderId="1"/>
  </cellStyleXfs>
  <cellXfs count="141">
    <xf numFmtId="0" fontId="0" fillId="0" borderId="0" xfId="0"/>
    <xf numFmtId="0" fontId="13" fillId="0" borderId="0" xfId="0" applyFont="1"/>
    <xf numFmtId="0" fontId="13" fillId="10" borderId="0" xfId="0" applyFont="1" applyFill="1"/>
    <xf numFmtId="0" fontId="14" fillId="0" borderId="0" xfId="0" applyFont="1" applyProtection="1"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wrapText="1"/>
      <protection hidden="1"/>
    </xf>
    <xf numFmtId="0" fontId="14" fillId="0" borderId="1" xfId="0" applyFont="1" applyBorder="1" applyProtection="1">
      <protection hidden="1"/>
    </xf>
    <xf numFmtId="0" fontId="25" fillId="0" borderId="1" xfId="0" applyFont="1" applyBorder="1" applyProtection="1">
      <protection hidden="1"/>
    </xf>
    <xf numFmtId="0" fontId="14" fillId="0" borderId="0" xfId="0" applyFont="1" applyAlignment="1" applyProtection="1">
      <alignment vertical="center"/>
      <protection hidden="1"/>
    </xf>
    <xf numFmtId="0" fontId="26" fillId="0" borderId="0" xfId="79" applyFont="1" applyAlignment="1" applyProtection="1">
      <alignment vertical="center"/>
      <protection hidden="1"/>
    </xf>
    <xf numFmtId="0" fontId="27" fillId="11" borderId="0" xfId="0" applyFont="1" applyFill="1" applyAlignment="1">
      <alignment vertical="center"/>
    </xf>
    <xf numFmtId="0" fontId="27" fillId="11" borderId="0" xfId="0" applyFont="1" applyFill="1" applyAlignment="1">
      <alignment horizontal="right" vertical="center"/>
    </xf>
    <xf numFmtId="0" fontId="27" fillId="11" borderId="0" xfId="0" applyFont="1" applyFill="1" applyAlignment="1">
      <alignment vertical="top"/>
    </xf>
    <xf numFmtId="167" fontId="27" fillId="11" borderId="0" xfId="0" applyNumberFormat="1" applyFont="1" applyFill="1" applyAlignment="1">
      <alignment horizontal="left" vertical="center"/>
    </xf>
    <xf numFmtId="0" fontId="20" fillId="0" borderId="0" xfId="0" applyFont="1"/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167" fontId="28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right"/>
    </xf>
    <xf numFmtId="0" fontId="20" fillId="10" borderId="0" xfId="0" applyFont="1" applyFill="1"/>
    <xf numFmtId="0" fontId="20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27" fillId="0" borderId="0" xfId="0" applyFont="1" applyAlignment="1">
      <alignment vertical="top"/>
    </xf>
    <xf numFmtId="0" fontId="20" fillId="0" borderId="1" xfId="0" applyFont="1" applyBorder="1"/>
    <xf numFmtId="0" fontId="28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 wrapText="1"/>
    </xf>
    <xf numFmtId="0" fontId="15" fillId="0" borderId="0" xfId="0" applyFont="1" applyProtection="1">
      <protection hidden="1"/>
    </xf>
    <xf numFmtId="0" fontId="15" fillId="0" borderId="1" xfId="0" applyFont="1" applyBorder="1" applyAlignment="1" applyProtection="1">
      <alignment vertical="center"/>
      <protection hidden="1"/>
    </xf>
    <xf numFmtId="0" fontId="29" fillId="0" borderId="1" xfId="0" applyFont="1" applyBorder="1" applyAlignment="1" applyProtection="1">
      <alignment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17" fillId="0" borderId="1" xfId="0" applyFont="1" applyBorder="1" applyAlignment="1" applyProtection="1">
      <alignment horizontal="left"/>
      <protection hidden="1"/>
    </xf>
    <xf numFmtId="0" fontId="17" fillId="0" borderId="1" xfId="0" applyFont="1" applyBorder="1" applyProtection="1">
      <protection hidden="1"/>
    </xf>
    <xf numFmtId="0" fontId="17" fillId="0" borderId="1" xfId="0" applyFont="1" applyBorder="1" applyAlignment="1" applyProtection="1">
      <alignment wrapText="1"/>
      <protection hidden="1"/>
    </xf>
    <xf numFmtId="0" fontId="17" fillId="0" borderId="0" xfId="0" applyFont="1" applyProtection="1">
      <protection hidden="1"/>
    </xf>
    <xf numFmtId="0" fontId="19" fillId="0" borderId="1" xfId="0" applyFont="1" applyBorder="1" applyProtection="1"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0" borderId="1" xfId="0" applyFont="1" applyBorder="1" applyAlignment="1" applyProtection="1">
      <alignment horizontal="left" wrapText="1"/>
      <protection hidden="1"/>
    </xf>
    <xf numFmtId="0" fontId="19" fillId="0" borderId="1" xfId="0" applyFont="1" applyBorder="1" applyAlignment="1" applyProtection="1">
      <alignment horizontal="left"/>
      <protection hidden="1"/>
    </xf>
    <xf numFmtId="0" fontId="19" fillId="0" borderId="1" xfId="0" applyFont="1" applyBorder="1" applyAlignment="1" applyProtection="1">
      <alignment horizontal="left" vertical="top" wrapText="1"/>
      <protection hidden="1"/>
    </xf>
    <xf numFmtId="0" fontId="32" fillId="0" borderId="1" xfId="0" applyFont="1" applyBorder="1" applyAlignment="1" applyProtection="1">
      <alignment vertical="center" wrapText="1"/>
      <protection hidden="1"/>
    </xf>
    <xf numFmtId="0" fontId="31" fillId="0" borderId="1" xfId="0" applyFont="1" applyBorder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17" fillId="0" borderId="2" xfId="0" applyFont="1" applyBorder="1" applyAlignment="1" applyProtection="1">
      <alignment wrapText="1"/>
      <protection hidden="1"/>
    </xf>
    <xf numFmtId="0" fontId="33" fillId="0" borderId="1" xfId="0" applyFont="1" applyBorder="1"/>
    <xf numFmtId="0" fontId="33" fillId="0" borderId="1" xfId="0" applyFont="1" applyBorder="1" applyAlignment="1">
      <alignment vertical="center"/>
    </xf>
    <xf numFmtId="0" fontId="14" fillId="0" borderId="0" xfId="0" applyFont="1"/>
    <xf numFmtId="0" fontId="17" fillId="0" borderId="0" xfId="0" applyFont="1" applyAlignment="1" applyProtection="1">
      <alignment horizontal="left"/>
      <protection hidden="1"/>
    </xf>
    <xf numFmtId="0" fontId="24" fillId="3" borderId="1" xfId="0" applyFont="1" applyFill="1" applyBorder="1" applyAlignment="1" applyProtection="1">
      <alignment horizontal="center" vertical="center" textRotation="180" wrapText="1"/>
      <protection hidden="1"/>
    </xf>
    <xf numFmtId="0" fontId="34" fillId="0" borderId="0" xfId="0" applyFont="1"/>
    <xf numFmtId="0" fontId="31" fillId="0" borderId="1" xfId="0" applyFont="1" applyBorder="1" applyAlignment="1" applyProtection="1">
      <alignment horizontal="left" wrapText="1"/>
      <protection locked="0" hidden="1"/>
    </xf>
    <xf numFmtId="0" fontId="19" fillId="0" borderId="2" xfId="0" applyFont="1" applyBorder="1" applyAlignment="1" applyProtection="1">
      <alignment horizontal="left" wrapText="1"/>
      <protection locked="0"/>
    </xf>
    <xf numFmtId="1" fontId="35" fillId="12" borderId="12" xfId="0" applyNumberFormat="1" applyFont="1" applyFill="1" applyBorder="1" applyAlignment="1">
      <alignment horizontal="left" vertical="center" wrapText="1"/>
    </xf>
    <xf numFmtId="0" fontId="37" fillId="13" borderId="15" xfId="0" applyFont="1" applyFill="1" applyBorder="1" applyAlignment="1">
      <alignment vertical="center" wrapText="1"/>
    </xf>
    <xf numFmtId="14" fontId="15" fillId="0" borderId="1" xfId="0" applyNumberFormat="1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24" fillId="5" borderId="1" xfId="0" applyFont="1" applyFill="1" applyBorder="1" applyAlignment="1" applyProtection="1">
      <alignment horizontal="center" vertical="center" textRotation="180" wrapText="1"/>
      <protection hidden="1"/>
    </xf>
    <xf numFmtId="0" fontId="32" fillId="9" borderId="1" xfId="0" applyFont="1" applyFill="1" applyBorder="1" applyAlignment="1" applyProtection="1">
      <alignment horizontal="center" wrapText="1"/>
      <protection hidden="1"/>
    </xf>
    <xf numFmtId="0" fontId="32" fillId="5" borderId="1" xfId="0" applyFont="1" applyFill="1" applyBorder="1" applyAlignment="1" applyProtection="1">
      <alignment horizontal="center" wrapText="1"/>
      <protection hidden="1"/>
    </xf>
    <xf numFmtId="0" fontId="32" fillId="9" borderId="1" xfId="0" applyFont="1" applyFill="1" applyBorder="1" applyAlignment="1" applyProtection="1">
      <alignment horizontal="center" vertical="center" wrapText="1"/>
      <protection locked="0"/>
    </xf>
    <xf numFmtId="0" fontId="32" fillId="5" borderId="1" xfId="0" applyFont="1" applyFill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 wrapText="1"/>
      <protection hidden="1"/>
    </xf>
    <xf numFmtId="0" fontId="24" fillId="8" borderId="0" xfId="0" applyFont="1" applyFill="1" applyAlignment="1" applyProtection="1">
      <alignment horizontal="center" vertical="center" textRotation="180" wrapText="1"/>
      <protection hidden="1"/>
    </xf>
    <xf numFmtId="0" fontId="17" fillId="0" borderId="1" xfId="0" applyFont="1" applyBorder="1" applyAlignment="1" applyProtection="1">
      <alignment horizontal="left"/>
      <protection hidden="1"/>
    </xf>
    <xf numFmtId="0" fontId="19" fillId="0" borderId="2" xfId="0" applyFont="1" applyBorder="1" applyAlignment="1" applyProtection="1">
      <alignment horizontal="left"/>
      <protection locked="0"/>
    </xf>
    <xf numFmtId="0" fontId="19" fillId="0" borderId="11" xfId="0" applyFont="1" applyBorder="1" applyAlignment="1" applyProtection="1">
      <alignment horizontal="left"/>
      <protection locked="0" hidden="1"/>
    </xf>
    <xf numFmtId="0" fontId="21" fillId="0" borderId="0" xfId="0" applyFont="1" applyAlignment="1" applyProtection="1">
      <alignment horizontal="justify" vertical="center" wrapText="1"/>
      <protection hidden="1"/>
    </xf>
    <xf numFmtId="0" fontId="24" fillId="7" borderId="0" xfId="0" applyFont="1" applyFill="1" applyAlignment="1" applyProtection="1">
      <alignment horizontal="center" vertical="center" textRotation="180" wrapText="1"/>
      <protection hidden="1"/>
    </xf>
    <xf numFmtId="0" fontId="18" fillId="2" borderId="1" xfId="0" applyFont="1" applyFill="1" applyBorder="1" applyAlignment="1" applyProtection="1">
      <alignment vertical="center" wrapText="1"/>
      <protection hidden="1"/>
    </xf>
    <xf numFmtId="0" fontId="31" fillId="2" borderId="1" xfId="0" applyFont="1" applyFill="1" applyBorder="1" applyAlignment="1" applyProtection="1">
      <alignment horizontal="left" vertical="center" wrapText="1"/>
      <protection locked="0"/>
    </xf>
    <xf numFmtId="0" fontId="31" fillId="2" borderId="2" xfId="0" applyFont="1" applyFill="1" applyBorder="1" applyAlignment="1" applyProtection="1">
      <alignment horizontal="left" vertical="center" wrapText="1"/>
      <protection locked="0"/>
    </xf>
    <xf numFmtId="0" fontId="24" fillId="6" borderId="0" xfId="0" applyFont="1" applyFill="1" applyAlignment="1" applyProtection="1">
      <alignment horizontal="center" vertical="center" textRotation="180" wrapText="1"/>
      <protection hidden="1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horizontal="center" wrapText="1"/>
      <protection hidden="1"/>
    </xf>
    <xf numFmtId="49" fontId="19" fillId="0" borderId="11" xfId="0" applyNumberFormat="1" applyFont="1" applyBorder="1" applyAlignment="1" applyProtection="1">
      <alignment horizontal="left" vertical="center" wrapText="1"/>
      <protection locked="0"/>
    </xf>
    <xf numFmtId="0" fontId="24" fillId="4" borderId="0" xfId="0" applyFont="1" applyFill="1" applyAlignment="1" applyProtection="1">
      <alignment horizontal="center" vertical="center" textRotation="180" wrapText="1"/>
      <protection hidden="1"/>
    </xf>
    <xf numFmtId="0" fontId="17" fillId="0" borderId="0" xfId="0" applyFont="1" applyAlignment="1" applyProtection="1">
      <alignment horizontal="left"/>
      <protection hidden="1"/>
    </xf>
    <xf numFmtId="0" fontId="19" fillId="0" borderId="2" xfId="0" applyFont="1" applyBorder="1" applyAlignment="1" applyProtection="1">
      <alignment horizontal="left" wrapText="1"/>
      <protection locked="0" hidden="1"/>
    </xf>
    <xf numFmtId="0" fontId="17" fillId="0" borderId="1" xfId="0" applyFont="1" applyBorder="1" applyAlignment="1" applyProtection="1">
      <alignment horizontal="left" indent="1"/>
      <protection hidden="1"/>
    </xf>
    <xf numFmtId="0" fontId="19" fillId="0" borderId="11" xfId="0" applyFont="1" applyBorder="1" applyAlignment="1" applyProtection="1">
      <alignment horizontal="left" wrapText="1"/>
      <protection locked="0" hidden="1"/>
    </xf>
    <xf numFmtId="0" fontId="19" fillId="0" borderId="1" xfId="0" applyFont="1" applyBorder="1" applyAlignment="1" applyProtection="1">
      <alignment horizontal="left" wrapText="1"/>
      <protection hidden="1"/>
    </xf>
    <xf numFmtId="0" fontId="19" fillId="0" borderId="2" xfId="0" applyFont="1" applyBorder="1" applyAlignment="1" applyProtection="1">
      <alignment horizontal="left" vertical="center" wrapText="1"/>
      <protection locked="0" hidden="1"/>
    </xf>
    <xf numFmtId="0" fontId="17" fillId="0" borderId="0" xfId="0" applyFont="1" applyAlignment="1" applyProtection="1">
      <alignment horizontal="center" wrapText="1"/>
      <protection hidden="1"/>
    </xf>
    <xf numFmtId="0" fontId="19" fillId="0" borderId="2" xfId="0" applyFont="1" applyBorder="1" applyAlignment="1" applyProtection="1">
      <alignment horizontal="left" wrapText="1"/>
      <protection hidden="1"/>
    </xf>
    <xf numFmtId="0" fontId="31" fillId="0" borderId="11" xfId="0" applyFont="1" applyBorder="1" applyAlignment="1" applyProtection="1">
      <alignment horizontal="left" vertical="center" wrapText="1"/>
      <protection locked="0" hidden="1"/>
    </xf>
    <xf numFmtId="49" fontId="19" fillId="0" borderId="2" xfId="0" applyNumberFormat="1" applyFont="1" applyBorder="1" applyAlignment="1" applyProtection="1">
      <alignment horizontal="left" wrapText="1"/>
      <protection locked="0"/>
    </xf>
    <xf numFmtId="0" fontId="17" fillId="0" borderId="9" xfId="0" applyFont="1" applyBorder="1" applyAlignment="1" applyProtection="1">
      <alignment horizontal="center"/>
      <protection hidden="1"/>
    </xf>
    <xf numFmtId="49" fontId="19" fillId="0" borderId="2" xfId="0" applyNumberFormat="1" applyFont="1" applyBorder="1" applyAlignment="1" applyProtection="1">
      <alignment horizontal="left" wrapText="1"/>
      <protection locked="0" hidden="1"/>
    </xf>
    <xf numFmtId="0" fontId="31" fillId="0" borderId="2" xfId="0" applyFont="1" applyBorder="1" applyAlignment="1" applyProtection="1">
      <alignment horizontal="left" vertical="center" wrapText="1"/>
      <protection locked="0" hidden="1"/>
    </xf>
    <xf numFmtId="0" fontId="22" fillId="0" borderId="1" xfId="0" applyFont="1" applyBorder="1" applyAlignment="1" applyProtection="1">
      <alignment horizontal="center"/>
      <protection hidden="1"/>
    </xf>
    <xf numFmtId="0" fontId="23" fillId="0" borderId="1" xfId="0" applyFont="1" applyBorder="1" applyAlignment="1" applyProtection="1">
      <alignment horizont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14" fillId="0" borderId="9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5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6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6" fillId="0" borderId="10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10" xfId="0" applyFont="1" applyBorder="1" applyAlignment="1" applyProtection="1">
      <alignment horizontal="center" vertical="center"/>
      <protection hidden="1"/>
    </xf>
    <xf numFmtId="0" fontId="15" fillId="0" borderId="5" xfId="0" applyFont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hidden="1"/>
    </xf>
    <xf numFmtId="0" fontId="24" fillId="3" borderId="9" xfId="0" applyFont="1" applyFill="1" applyBorder="1" applyAlignment="1" applyProtection="1">
      <alignment horizontal="center" vertical="center" textRotation="180" wrapText="1"/>
      <protection hidden="1"/>
    </xf>
    <xf numFmtId="0" fontId="24" fillId="3" borderId="1" xfId="0" applyFont="1" applyFill="1" applyBorder="1" applyAlignment="1" applyProtection="1">
      <alignment horizontal="center" vertical="center" textRotation="180" wrapText="1"/>
      <protection hidden="1"/>
    </xf>
    <xf numFmtId="0" fontId="29" fillId="0" borderId="9" xfId="0" applyFont="1" applyBorder="1" applyAlignment="1" applyProtection="1">
      <alignment horizontal="left"/>
      <protection hidden="1"/>
    </xf>
    <xf numFmtId="0" fontId="29" fillId="0" borderId="1" xfId="0" applyFont="1" applyBorder="1" applyAlignment="1" applyProtection="1">
      <alignment horizontal="left"/>
      <protection hidden="1"/>
    </xf>
    <xf numFmtId="14" fontId="15" fillId="0" borderId="11" xfId="0" applyNumberFormat="1" applyFont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left" wrapText="1"/>
      <protection hidden="1"/>
    </xf>
    <xf numFmtId="0" fontId="30" fillId="0" borderId="1" xfId="0" applyFont="1" applyBorder="1" applyAlignment="1" applyProtection="1">
      <alignment horizontal="left" wrapText="1"/>
      <protection hidden="1"/>
    </xf>
    <xf numFmtId="0" fontId="19" fillId="0" borderId="2" xfId="0" applyFont="1" applyBorder="1" applyAlignment="1" applyProtection="1">
      <alignment horizontal="left" vertical="center" wrapText="1"/>
      <protection hidden="1"/>
    </xf>
    <xf numFmtId="0" fontId="17" fillId="0" borderId="9" xfId="0" applyFont="1" applyBorder="1" applyAlignment="1" applyProtection="1">
      <alignment horizontal="center" wrapText="1"/>
      <protection hidden="1"/>
    </xf>
    <xf numFmtId="0" fontId="19" fillId="0" borderId="11" xfId="0" applyFont="1" applyBorder="1" applyAlignment="1" applyProtection="1">
      <alignment horizontal="left" vertical="center" wrapText="1"/>
      <protection hidden="1"/>
    </xf>
    <xf numFmtId="0" fontId="17" fillId="0" borderId="9" xfId="0" applyFont="1" applyBorder="1" applyAlignment="1" applyProtection="1">
      <alignment horizontal="left" wrapText="1" indent="1"/>
      <protection hidden="1"/>
    </xf>
    <xf numFmtId="0" fontId="19" fillId="0" borderId="11" xfId="0" applyFont="1" applyBorder="1" applyAlignment="1" applyProtection="1">
      <alignment horizontal="left" wrapText="1"/>
      <protection hidden="1"/>
    </xf>
    <xf numFmtId="0" fontId="17" fillId="0" borderId="13" xfId="0" applyFont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/>
      <protection hidden="1"/>
    </xf>
    <xf numFmtId="49" fontId="15" fillId="0" borderId="3" xfId="0" applyNumberFormat="1" applyFont="1" applyBorder="1" applyAlignment="1" applyProtection="1">
      <alignment horizontal="center" vertical="center"/>
      <protection hidden="1"/>
    </xf>
    <xf numFmtId="0" fontId="17" fillId="0" borderId="14" xfId="0" applyFont="1" applyBorder="1" applyAlignment="1" applyProtection="1">
      <alignment horizontal="center" vertical="center" wrapText="1"/>
      <protection hidden="1"/>
    </xf>
    <xf numFmtId="0" fontId="18" fillId="2" borderId="8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14" fontId="15" fillId="0" borderId="3" xfId="0" applyNumberFormat="1" applyFont="1" applyBorder="1" applyAlignment="1" applyProtection="1">
      <alignment horizontal="center" vertical="center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</cellXfs>
  <cellStyles count="82">
    <cellStyle name="=C:\WINNT\SYSTEM32\COMMAND.COM" xfId="13" xr:uid="{A6CBC3F3-0B34-438D-B406-2FE1CDE9C7CD}"/>
    <cellStyle name="Hipervínculo" xfId="79" builtinId="8"/>
    <cellStyle name="Hipervínculo 2" xfId="14" xr:uid="{1A6FBFD3-A81B-4CE1-B41F-F0C538F3FC9C}"/>
    <cellStyle name="Millares 2" xfId="15" xr:uid="{0FD5A712-BFD3-494F-B929-C6BF9999BABA}"/>
    <cellStyle name="Millares 2 2" xfId="16" xr:uid="{D4E89415-C5ED-4C38-A545-26F452EF62C8}"/>
    <cellStyle name="Millares 2 3" xfId="17" xr:uid="{499B5CA6-7E56-4996-984C-60CCE44421B1}"/>
    <cellStyle name="Millares 2 3 2" xfId="40" xr:uid="{7CF9873B-D3EB-48FA-A6E6-06EE4E45914B}"/>
    <cellStyle name="Millares 2 3 2 2" xfId="72" xr:uid="{1A5EBB58-89B2-4381-9675-D0DC84F44F2A}"/>
    <cellStyle name="Millares 2 3 3" xfId="43" xr:uid="{2072CD18-42C1-4E1B-8215-3729363B9687}"/>
    <cellStyle name="Millares 2 3 3 2" xfId="75" xr:uid="{9F0BA1A4-FF6F-4210-AA2B-08F6D45C85CC}"/>
    <cellStyle name="Millares 2 3 4" xfId="51" xr:uid="{B4F89B69-7E12-43ED-9556-6F8E5A6A43CF}"/>
    <cellStyle name="Millares 3" xfId="18" xr:uid="{42D80D44-41CC-4499-8959-9723FCB7A589}"/>
    <cellStyle name="Millares 3 2" xfId="41" xr:uid="{CA4FDB1D-DE92-445A-9BE9-6AFE66ED947A}"/>
    <cellStyle name="Millares 3 2 2" xfId="73" xr:uid="{5AA5B24C-2CBC-4943-8C91-AB782DDCDB9A}"/>
    <cellStyle name="Millares 3 3" xfId="44" xr:uid="{394760D8-4AF2-48AF-81A0-2F2E8974EEE1}"/>
    <cellStyle name="Millares 3 3 2" xfId="76" xr:uid="{94D394E2-FF46-4CF6-8133-42E4CC112239}"/>
    <cellStyle name="Millares 3 4" xfId="52" xr:uid="{6404A970-4E79-4C80-B37A-9F6BE1473047}"/>
    <cellStyle name="Millares 4" xfId="9" xr:uid="{E85112D5-A1FE-43C0-978D-DEB3FCE85653}"/>
    <cellStyle name="Moneda 2" xfId="19" xr:uid="{7FEF645D-3968-4D73-A4CA-BD14A7F38048}"/>
    <cellStyle name="Moneda 2 2" xfId="20" xr:uid="{72AC9B86-060F-420B-B3E9-CC36F52117D1}"/>
    <cellStyle name="Moneda 2 2 2" xfId="42" xr:uid="{4AC92E35-6BC9-436C-83A7-4ADDFB12C144}"/>
    <cellStyle name="Moneda 2 2 2 2" xfId="74" xr:uid="{FC9C437A-EB24-4294-8457-C481CDD67FAC}"/>
    <cellStyle name="Moneda 2 2 3" xfId="45" xr:uid="{458521F8-A838-4F88-BB27-6926BA9C3EF2}"/>
    <cellStyle name="Moneda 2 2 3 2" xfId="77" xr:uid="{4F80F2B2-1B57-4379-92B0-60D87352BD28}"/>
    <cellStyle name="Moneda 2 2 4" xfId="54" xr:uid="{34EC03AE-E93F-4BC7-B64D-69B562650AF0}"/>
    <cellStyle name="Moneda 2 3" xfId="53" xr:uid="{38C57632-39C0-4855-9C2C-8DB60E2F238D}"/>
    <cellStyle name="Normal" xfId="0" builtinId="0"/>
    <cellStyle name="Normal 2" xfId="1" xr:uid="{3EA69669-5FCE-45E2-BADB-1C1E42B7D9BC}"/>
    <cellStyle name="Normal 2 2" xfId="11" xr:uid="{1D278E45-9BF7-4B25-868D-CC79C839138F}"/>
    <cellStyle name="Normal 2 2 2" xfId="32" xr:uid="{06763B3E-168D-406A-8F7C-1AD2C1C153F1}"/>
    <cellStyle name="Normal 2 3" xfId="8" xr:uid="{3DAB7897-9145-4112-A8F6-2F6C27BB2C21}"/>
    <cellStyle name="Normal 2 4" xfId="6" xr:uid="{C0A02409-844B-4C2A-99F5-5C0B7C569E56}"/>
    <cellStyle name="Normal 2 5" xfId="48" xr:uid="{FDC6735B-8102-49D8-8E09-671A58872F72}"/>
    <cellStyle name="Normal 3" xfId="2" xr:uid="{EAEF1A4D-E05B-40DE-BB18-11780EE9F08F}"/>
    <cellStyle name="Normal 3 14" xfId="36" xr:uid="{8F82D405-B0CD-4DEB-A21B-11A861B94495}"/>
    <cellStyle name="Normal 3 14 2" xfId="68" xr:uid="{758A57A9-6FFF-4945-B585-96B7D153AD67}"/>
    <cellStyle name="Normal 3 2" xfId="12" xr:uid="{6D8716CE-F5B7-4A8B-BFF4-40BD18278B8F}"/>
    <cellStyle name="Normal 3 2 2" xfId="35" xr:uid="{D5008F50-A6B3-4575-B651-2ED8656314B6}"/>
    <cellStyle name="Normal 3 2 2 2" xfId="37" xr:uid="{E2590BC1-91B3-4568-BDED-E886B3B3E29E}"/>
    <cellStyle name="Normal 3 2 2 2 2" xfId="69" xr:uid="{B5FD1D3D-DE45-4B6C-BA31-6116662BBF9D}"/>
    <cellStyle name="Normal 3 2 2 3" xfId="67" xr:uid="{434FD226-3027-49F0-A08F-C6C3C0FD225C}"/>
    <cellStyle name="Normal 3 2 3" xfId="38" xr:uid="{A7F614F9-3E18-4EC7-BABA-AA687483EB7C}"/>
    <cellStyle name="Normal 3 2 3 2" xfId="70" xr:uid="{5A6B3AEE-75AD-4DAD-A4A4-076FFDFAE5C3}"/>
    <cellStyle name="Normal 3 2 4" xfId="50" xr:uid="{375545CD-FA3D-4EC6-8978-C930A51800BE}"/>
    <cellStyle name="Normal 3 3" xfId="21" xr:uid="{67484C8C-D452-48C4-AAE4-ECF5A2731547}"/>
    <cellStyle name="Normal 3 3 2" xfId="22" xr:uid="{809B7112-9BE4-4BE6-B19F-2C2CF6327A8D}"/>
    <cellStyle name="Normal 3 3 2 2" xfId="23" xr:uid="{BFB3E33A-196F-4800-A12A-9240A16BD13D}"/>
    <cellStyle name="Normal 3 3 2 2 2" xfId="57" xr:uid="{8424B32A-D112-46D6-8421-80FAC86D04B0}"/>
    <cellStyle name="Normal 3 3 2 3" xfId="56" xr:uid="{BE59E1D6-330C-493C-A1E8-EB8952F2BEA3}"/>
    <cellStyle name="Normal 3 3 3" xfId="24" xr:uid="{D761B62A-8F55-4925-A516-4B30CB24F456}"/>
    <cellStyle name="Normal 3 3 3 2" xfId="58" xr:uid="{ACBB4CCE-B869-4512-8CC6-86EEB65C3F39}"/>
    <cellStyle name="Normal 3 3 4" xfId="55" xr:uid="{C1745C89-3A27-4F2C-89C5-81440FC274A7}"/>
    <cellStyle name="Normal 3 4" xfId="25" xr:uid="{C8BBDF1F-D5C4-4220-96CF-3F9035772EA1}"/>
    <cellStyle name="Normal 3 4 2" xfId="26" xr:uid="{A2D2AC69-0616-4319-B438-E2B5CE689A48}"/>
    <cellStyle name="Normal 3 4 2 2" xfId="60" xr:uid="{644609F0-02C3-4244-A8D9-8A2265473F8C}"/>
    <cellStyle name="Normal 3 4 3" xfId="59" xr:uid="{FC28E705-FD69-4311-BB0E-D11CC7EBBD2C}"/>
    <cellStyle name="Normal 3 5" xfId="27" xr:uid="{4320FFF3-BB12-4A00-A2E9-F8F77CE7AB9E}"/>
    <cellStyle name="Normal 3 5 2" xfId="61" xr:uid="{74A0C10E-0FE0-4DE9-B655-5BEB4C233DCF}"/>
    <cellStyle name="Normal 3 6" xfId="28" xr:uid="{D9C3B554-1E0C-4F9F-AAE8-2CC2ADB412BF}"/>
    <cellStyle name="Normal 3 6 2" xfId="62" xr:uid="{0369E230-2879-48B2-965F-5E6626312EB9}"/>
    <cellStyle name="Normal 3 7" xfId="33" xr:uid="{D7B59E57-8654-4FBA-A0FF-29CCDC91270A}"/>
    <cellStyle name="Normal 3 7 2" xfId="34" xr:uid="{DE930287-6E7E-4CA2-A5EF-90186C8C5067}"/>
    <cellStyle name="Normal 3 7 2 2" xfId="39" xr:uid="{531BF9F1-7A8D-4E2E-8462-32AE6A7115FD}"/>
    <cellStyle name="Normal 3 7 2 2 2" xfId="71" xr:uid="{CB21B94B-EFD7-4A37-A93C-020692C1DC64}"/>
    <cellStyle name="Normal 3 7 2 3" xfId="66" xr:uid="{A845EA1A-1775-46C1-83EB-A3037CBF3696}"/>
    <cellStyle name="Normal 3 7 3" xfId="65" xr:uid="{1DC7282A-72CD-4114-842F-2BF73AB01F31}"/>
    <cellStyle name="Normal 3 8" xfId="7" xr:uid="{6806957D-7E29-422D-BF38-66CC8AFA6A16}"/>
    <cellStyle name="Normal 3 9" xfId="49" xr:uid="{138621D3-0CC5-48DD-8974-0BABDB873831}"/>
    <cellStyle name="Normal 4" xfId="3" xr:uid="{033845FD-BDB9-4C01-A3B4-626D0A664242}"/>
    <cellStyle name="Normal 4 2" xfId="46" xr:uid="{4A75458B-FFA4-4B1E-B99B-9AD6BB2323E1}"/>
    <cellStyle name="Normal 4 2 2" xfId="78" xr:uid="{6B3FCC74-8EA4-449D-92DF-7AA0E44213EF}"/>
    <cellStyle name="Normal 4 3" xfId="5" xr:uid="{C4FDAA76-6927-4FC4-B5F6-E5E3828E87A8}"/>
    <cellStyle name="Normal 5" xfId="10" xr:uid="{96E87164-F57F-4CBC-B392-94F77C725289}"/>
    <cellStyle name="Normal 5 2" xfId="81" xr:uid="{B1B2203B-7EE0-4C85-BA9A-E18AF7E01F61}"/>
    <cellStyle name="Normal 6" xfId="4" xr:uid="{D59F98C3-32BA-441B-8596-DD2D555809F9}"/>
    <cellStyle name="Normal 7" xfId="47" xr:uid="{BA6A1757-A330-40A4-A5DB-C998C2272A03}"/>
    <cellStyle name="Normal 8" xfId="80" xr:uid="{F7F0EB9B-74D1-4A65-999D-20DB6FF89079}"/>
    <cellStyle name="Porcentual 2" xfId="29" xr:uid="{DE4463E4-FFA7-4EB1-BC6F-CFD088022DD2}"/>
    <cellStyle name="Porcentual 3" xfId="30" xr:uid="{1BE88520-2812-4B9D-86F5-E7EF4644605F}"/>
    <cellStyle name="Porcentual 3 2" xfId="31" xr:uid="{95570BD1-EBC2-4F56-97DA-DC00A1F5C5DC}"/>
    <cellStyle name="Porcentual 3 2 2" xfId="64" xr:uid="{27FF162B-A073-4B6C-83D7-F9D7E3884222}"/>
    <cellStyle name="Porcentual 3 3" xfId="63" xr:uid="{125DA1A1-0FF2-4D94-BB98-17A9B251B60E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D2449"/>
      <color rgb="FFA6A6A6"/>
      <color rgb="FF385623"/>
      <color rgb="FF525252"/>
      <color rgb="FFB38E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2</xdr:row>
      <xdr:rowOff>166688</xdr:rowOff>
    </xdr:from>
    <xdr:to>
      <xdr:col>9</xdr:col>
      <xdr:colOff>190500</xdr:colOff>
      <xdr:row>4</xdr:row>
      <xdr:rowOff>159979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071490-A758-2FC5-9A05-32DF1EBD7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381001"/>
          <a:ext cx="2809874" cy="421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2</xdr:row>
      <xdr:rowOff>166688</xdr:rowOff>
    </xdr:from>
    <xdr:to>
      <xdr:col>9</xdr:col>
      <xdr:colOff>190500</xdr:colOff>
      <xdr:row>4</xdr:row>
      <xdr:rowOff>159979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EC924-8C63-4A06-9A3F-265C8F8D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8" y="385763"/>
          <a:ext cx="2811462" cy="421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pageSetUpPr fitToPage="1"/>
  </sheetPr>
  <dimension ref="A1:AW993"/>
  <sheetViews>
    <sheetView showGridLines="0" zoomScale="130" zoomScaleNormal="130" zoomScaleSheetLayoutView="120" workbookViewId="0">
      <selection activeCell="S12" sqref="S12:AB12"/>
    </sheetView>
  </sheetViews>
  <sheetFormatPr baseColWidth="10" defaultColWidth="12.59765625" defaultRowHeight="15" customHeight="1"/>
  <cols>
    <col min="1" max="1" width="0.69921875" style="3" customWidth="1" collapsed="1"/>
    <col min="2" max="2" width="5.09765625" style="3" customWidth="1" collapsed="1"/>
    <col min="3" max="3" width="1.3984375" style="3" customWidth="1" collapsed="1"/>
    <col min="4" max="4" width="3.59765625" style="3" customWidth="1" collapsed="1"/>
    <col min="5" max="5" width="5.19921875" style="3" customWidth="1" collapsed="1"/>
    <col min="6" max="6" width="11" style="3" customWidth="1"/>
    <col min="7" max="7" width="1.19921875" style="3" customWidth="1" collapsed="1"/>
    <col min="8" max="8" width="4" style="3" customWidth="1" collapsed="1"/>
    <col min="9" max="9" width="2.8984375" style="3" customWidth="1"/>
    <col min="10" max="10" width="2.59765625" style="3" customWidth="1" collapsed="1"/>
    <col min="11" max="11" width="5.5" style="3" customWidth="1" collapsed="1"/>
    <col min="12" max="12" width="3.09765625" style="3" customWidth="1" collapsed="1"/>
    <col min="13" max="13" width="2.69921875" style="3" customWidth="1" collapsed="1"/>
    <col min="14" max="14" width="4.09765625" style="3" customWidth="1" collapsed="1"/>
    <col min="15" max="15" width="2.59765625" style="3" customWidth="1"/>
    <col min="16" max="16" width="1.59765625" style="3" customWidth="1"/>
    <col min="17" max="17" width="1.59765625" style="3" customWidth="1" collapsed="1"/>
    <col min="18" max="19" width="5.19921875" style="3" customWidth="1" collapsed="1"/>
    <col min="20" max="20" width="2.59765625" style="3" customWidth="1"/>
    <col min="21" max="21" width="2.59765625" style="3" customWidth="1" collapsed="1"/>
    <col min="22" max="22" width="2.59765625" style="3" customWidth="1"/>
    <col min="23" max="23" width="2.09765625" style="3" customWidth="1"/>
    <col min="24" max="24" width="5.19921875" style="3" customWidth="1" collapsed="1"/>
    <col min="25" max="26" width="5" style="3" customWidth="1" collapsed="1"/>
    <col min="27" max="27" width="5" style="3" customWidth="1"/>
    <col min="28" max="28" width="4.3984375" style="3" customWidth="1" collapsed="1"/>
    <col min="29" max="40" width="12.59765625" style="3"/>
    <col min="41" max="16384" width="12.59765625" style="3" collapsed="1"/>
  </cols>
  <sheetData>
    <row r="1" spans="2:49" ht="12" customHeight="1">
      <c r="B1" s="96"/>
      <c r="C1" s="97"/>
      <c r="D1" s="97"/>
      <c r="E1" s="97"/>
      <c r="F1" s="97"/>
      <c r="G1" s="97"/>
      <c r="H1" s="97"/>
      <c r="I1" s="97"/>
      <c r="J1" s="98"/>
      <c r="K1" s="105" t="s">
        <v>10463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  <c r="Y1" s="114" t="s">
        <v>0</v>
      </c>
      <c r="Z1" s="115"/>
      <c r="AA1" s="114" t="s">
        <v>1</v>
      </c>
      <c r="AB1" s="115"/>
    </row>
    <row r="2" spans="2:49" ht="5.25" customHeight="1">
      <c r="B2" s="99"/>
      <c r="C2" s="100"/>
      <c r="D2" s="100"/>
      <c r="E2" s="100"/>
      <c r="F2" s="100"/>
      <c r="G2" s="100"/>
      <c r="H2" s="100"/>
      <c r="I2" s="100"/>
      <c r="J2" s="101"/>
      <c r="K2" s="108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10"/>
      <c r="Y2" s="116"/>
      <c r="Z2" s="117"/>
      <c r="AA2" s="116"/>
      <c r="AB2" s="117"/>
    </row>
    <row r="3" spans="2:49" ht="16.5" customHeight="1">
      <c r="B3" s="99"/>
      <c r="C3" s="100"/>
      <c r="D3" s="100"/>
      <c r="E3" s="100"/>
      <c r="F3" s="100"/>
      <c r="G3" s="100"/>
      <c r="H3" s="100"/>
      <c r="I3" s="100"/>
      <c r="J3" s="101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  <c r="Y3" s="114" t="s">
        <v>2</v>
      </c>
      <c r="Z3" s="115"/>
      <c r="AA3" s="114" t="s">
        <v>3</v>
      </c>
      <c r="AB3" s="115"/>
    </row>
    <row r="4" spans="2:49" ht="17.25" customHeight="1">
      <c r="B4" s="99"/>
      <c r="C4" s="100"/>
      <c r="D4" s="100"/>
      <c r="E4" s="100"/>
      <c r="F4" s="100"/>
      <c r="G4" s="100"/>
      <c r="H4" s="100"/>
      <c r="I4" s="100"/>
      <c r="J4" s="101"/>
      <c r="K4" s="130" t="s">
        <v>5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 t="s">
        <v>4</v>
      </c>
      <c r="Z4" s="131"/>
      <c r="AA4" s="132" t="s">
        <v>10465</v>
      </c>
      <c r="AB4" s="132"/>
    </row>
    <row r="5" spans="2:49" ht="14.25" customHeight="1">
      <c r="B5" s="99"/>
      <c r="C5" s="100"/>
      <c r="D5" s="100"/>
      <c r="E5" s="100"/>
      <c r="F5" s="100"/>
      <c r="G5" s="100"/>
      <c r="H5" s="100"/>
      <c r="I5" s="100"/>
      <c r="J5" s="101"/>
      <c r="K5" s="133" t="s">
        <v>10464</v>
      </c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1"/>
      <c r="Z5" s="131"/>
      <c r="AA5" s="132"/>
      <c r="AB5" s="132"/>
    </row>
    <row r="6" spans="2:49" ht="17.399999999999999" customHeight="1">
      <c r="B6" s="99"/>
      <c r="C6" s="100"/>
      <c r="D6" s="100"/>
      <c r="E6" s="100"/>
      <c r="F6" s="100"/>
      <c r="G6" s="100"/>
      <c r="H6" s="100"/>
      <c r="I6" s="100"/>
      <c r="J6" s="101"/>
      <c r="K6" s="134" t="s">
        <v>10467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6"/>
      <c r="Y6" s="131" t="s">
        <v>6</v>
      </c>
      <c r="Z6" s="131"/>
      <c r="AA6" s="137">
        <v>45827</v>
      </c>
      <c r="AB6" s="131"/>
    </row>
    <row r="7" spans="2:49" ht="17.399999999999999" customHeight="1">
      <c r="B7" s="102"/>
      <c r="C7" s="103"/>
      <c r="D7" s="103"/>
      <c r="E7" s="103"/>
      <c r="F7" s="103"/>
      <c r="G7" s="103"/>
      <c r="H7" s="103"/>
      <c r="I7" s="103"/>
      <c r="J7" s="104"/>
      <c r="K7" s="138" t="s">
        <v>10466</v>
      </c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40"/>
      <c r="Y7" s="131"/>
      <c r="Z7" s="131"/>
      <c r="AA7" s="131"/>
      <c r="AB7" s="131"/>
    </row>
    <row r="8" spans="2:49" ht="26.25" customHeight="1">
      <c r="B8" s="118" t="s">
        <v>7</v>
      </c>
      <c r="C8" s="34"/>
      <c r="D8" s="120" t="s">
        <v>8</v>
      </c>
      <c r="E8" s="120"/>
      <c r="F8" s="120"/>
      <c r="G8" s="121"/>
      <c r="H8" s="122">
        <v>46231</v>
      </c>
      <c r="I8" s="122"/>
      <c r="J8" s="122"/>
      <c r="K8" s="122"/>
      <c r="L8" s="122"/>
      <c r="M8" s="31"/>
      <c r="N8" s="31"/>
      <c r="O8" s="31"/>
      <c r="P8" s="31"/>
      <c r="Q8" s="31"/>
      <c r="R8" s="31"/>
      <c r="S8" s="32"/>
      <c r="T8" s="32"/>
      <c r="U8" s="32"/>
      <c r="V8" s="33"/>
      <c r="W8" s="33"/>
      <c r="X8" s="31"/>
      <c r="Y8" s="31"/>
      <c r="Z8" s="31"/>
      <c r="AA8" s="31"/>
      <c r="AB8" s="31"/>
    </row>
    <row r="9" spans="2:49" ht="94.5" customHeight="1">
      <c r="B9" s="119"/>
      <c r="C9" s="34"/>
      <c r="D9" s="123" t="s">
        <v>9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</row>
    <row r="10" spans="2:49" ht="24.9" customHeight="1">
      <c r="B10" s="119"/>
      <c r="C10" s="34"/>
      <c r="D10" s="67" t="s">
        <v>10</v>
      </c>
      <c r="E10" s="67"/>
      <c r="F10" s="67"/>
      <c r="G10" s="67"/>
      <c r="H10" s="77" t="s">
        <v>10522</v>
      </c>
      <c r="I10" s="77"/>
      <c r="J10" s="77"/>
      <c r="K10" s="77"/>
      <c r="L10" s="77"/>
      <c r="M10" s="77"/>
      <c r="N10" s="77"/>
      <c r="O10" s="77"/>
      <c r="P10" s="77"/>
      <c r="Q10" s="36"/>
      <c r="R10" s="67" t="s">
        <v>11</v>
      </c>
      <c r="S10" s="67"/>
      <c r="T10" s="77" t="s">
        <v>10523</v>
      </c>
      <c r="U10" s="77"/>
      <c r="V10" s="77"/>
      <c r="W10" s="77"/>
      <c r="X10" s="77"/>
      <c r="Y10" s="77"/>
      <c r="Z10" s="77"/>
      <c r="AA10" s="77"/>
      <c r="AB10" s="77"/>
      <c r="AD10" s="6"/>
    </row>
    <row r="11" spans="2:49" ht="24.9" customHeight="1">
      <c r="B11" s="119"/>
      <c r="C11" s="34"/>
      <c r="D11" s="67" t="s">
        <v>12</v>
      </c>
      <c r="E11" s="67"/>
      <c r="F11" s="67"/>
      <c r="G11" s="67"/>
      <c r="H11" s="90" t="s">
        <v>10524</v>
      </c>
      <c r="I11" s="90"/>
      <c r="J11" s="90"/>
      <c r="K11" s="91" t="s">
        <v>13</v>
      </c>
      <c r="L11" s="91"/>
      <c r="M11" s="91"/>
      <c r="N11" s="92" t="s">
        <v>9655</v>
      </c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37" t="s">
        <v>14</v>
      </c>
      <c r="AB11" s="55">
        <v>31082</v>
      </c>
    </row>
    <row r="12" spans="2:49" ht="24.9" customHeight="1">
      <c r="B12" s="119"/>
      <c r="C12" s="34"/>
      <c r="D12" s="67" t="s">
        <v>15</v>
      </c>
      <c r="E12" s="67"/>
      <c r="F12" s="67"/>
      <c r="G12" s="67"/>
      <c r="H12" s="82" t="s">
        <v>616</v>
      </c>
      <c r="I12" s="82"/>
      <c r="J12" s="82"/>
      <c r="K12" s="82"/>
      <c r="L12" s="82"/>
      <c r="M12" s="78" t="s">
        <v>16</v>
      </c>
      <c r="N12" s="78"/>
      <c r="O12" s="78"/>
      <c r="P12" s="78"/>
      <c r="Q12" s="78"/>
      <c r="R12" s="78"/>
      <c r="S12" s="93" t="s">
        <v>1870</v>
      </c>
      <c r="T12" s="93"/>
      <c r="U12" s="93"/>
      <c r="V12" s="93"/>
      <c r="W12" s="93"/>
      <c r="X12" s="93"/>
      <c r="Y12" s="93"/>
      <c r="Z12" s="93"/>
      <c r="AA12" s="93"/>
      <c r="AB12" s="93"/>
      <c r="AF12" s="94"/>
      <c r="AG12" s="9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</row>
    <row r="13" spans="2:49" ht="36" customHeight="1">
      <c r="B13" s="119"/>
      <c r="C13" s="34"/>
      <c r="D13" s="81" t="s">
        <v>17</v>
      </c>
      <c r="E13" s="81"/>
      <c r="F13" s="81"/>
      <c r="G13" s="38"/>
      <c r="H13" s="125" t="str">
        <f>IFERROR(VLOOKUP(CONCATENATE(H12,"-",S12),TDOMICILIOS,10,FALSE)," ")</f>
        <v>Fraternidad Esq. Jose Hernandez Col. Obrero Campesina</v>
      </c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6" t="s">
        <v>18</v>
      </c>
      <c r="U13" s="126"/>
      <c r="V13" s="126"/>
      <c r="W13" s="126"/>
      <c r="X13" s="127" t="str">
        <f>IFERROR(VLOOKUP(CONCATENATE(H12,"-",S12),TDOMICILIOS,11,FALSE)," ")</f>
        <v>Xalapa</v>
      </c>
      <c r="Y13" s="127"/>
      <c r="Z13" s="127"/>
      <c r="AA13" s="127"/>
      <c r="AB13" s="127"/>
    </row>
    <row r="14" spans="2:49" ht="24.9" customHeight="1">
      <c r="B14" s="119"/>
      <c r="C14" s="34"/>
      <c r="D14" s="81" t="s">
        <v>19</v>
      </c>
      <c r="E14" s="81"/>
      <c r="F14" s="81"/>
      <c r="G14" s="34"/>
      <c r="H14" s="88">
        <f>IFERROR(VLOOKUP(CONCATENATE(H12,"-",S12),TDOMICILIOS,12,FALSE)," ")</f>
        <v>91020</v>
      </c>
      <c r="I14" s="88"/>
      <c r="J14" s="7"/>
      <c r="K14" s="128" t="s">
        <v>20</v>
      </c>
      <c r="L14" s="128"/>
      <c r="M14" s="128"/>
      <c r="N14" s="128"/>
      <c r="O14" s="129" t="str">
        <f>IFERROR(VLOOKUP(CONCATENATE(H12,"-",S12),TDOMICILIOS,7,FALSE)," ")</f>
        <v>Unidad Medica</v>
      </c>
      <c r="P14" s="129"/>
      <c r="Q14" s="129"/>
      <c r="R14" s="129"/>
      <c r="S14" s="129"/>
      <c r="T14" s="78" t="s">
        <v>21</v>
      </c>
      <c r="U14" s="78"/>
      <c r="V14" s="88" t="str">
        <f>IFERROR(VLOOKUP(CONCATENATE(H12,"-",S12),TDOMICILIOS,3,FALSE),"")</f>
        <v>VZIST000120</v>
      </c>
      <c r="W14" s="88"/>
      <c r="X14" s="88"/>
      <c r="Y14" s="88"/>
      <c r="Z14" s="88"/>
      <c r="AA14" s="88"/>
      <c r="AB14" s="88"/>
      <c r="AC14" s="8"/>
    </row>
    <row r="15" spans="2:49" ht="24.9" customHeight="1">
      <c r="B15" s="119"/>
      <c r="C15" s="34"/>
      <c r="D15" s="67" t="s">
        <v>22</v>
      </c>
      <c r="E15" s="67"/>
      <c r="F15" s="67"/>
      <c r="G15" s="39"/>
      <c r="H15" s="86" t="s">
        <v>10036</v>
      </c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7" t="s">
        <v>23</v>
      </c>
      <c r="T15" s="87"/>
      <c r="U15" s="87"/>
      <c r="V15" s="87"/>
      <c r="W15" s="87"/>
      <c r="X15" s="87"/>
      <c r="Y15" s="88" t="str">
        <f>IFERROR(VLOOKUP(CONCATENATE(H12,"-",S12),TDOMICILIOS,4,FALSE)," ")</f>
        <v>030-204-00</v>
      </c>
      <c r="Z15" s="88"/>
      <c r="AA15" s="88"/>
      <c r="AB15" s="88"/>
      <c r="AC15" s="7"/>
    </row>
    <row r="16" spans="2:49" s="8" customFormat="1" ht="30" customHeight="1">
      <c r="B16" s="119"/>
      <c r="C16" s="39"/>
      <c r="D16" s="81" t="s">
        <v>24</v>
      </c>
      <c r="E16" s="81"/>
      <c r="F16" s="81"/>
      <c r="G16" s="34"/>
      <c r="H16" s="89" t="s">
        <v>4343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78" t="s">
        <v>25</v>
      </c>
      <c r="T16" s="78"/>
      <c r="U16" s="78"/>
      <c r="V16" s="78"/>
      <c r="W16" s="78"/>
      <c r="X16" s="78"/>
      <c r="Y16" s="90" t="s">
        <v>10526</v>
      </c>
      <c r="Z16" s="90"/>
      <c r="AA16" s="90"/>
      <c r="AB16" s="90"/>
    </row>
    <row r="17" spans="2:29" s="8" customFormat="1" ht="24.9" customHeight="1">
      <c r="B17" s="52"/>
      <c r="C17" s="39"/>
      <c r="D17" s="51"/>
      <c r="E17" s="51"/>
      <c r="F17" s="51"/>
      <c r="G17" s="3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78" t="s">
        <v>26</v>
      </c>
      <c r="T17" s="78"/>
      <c r="U17" s="78"/>
      <c r="V17" s="78"/>
      <c r="W17" s="78"/>
      <c r="X17" s="78"/>
      <c r="Y17" s="79" t="s">
        <v>10525</v>
      </c>
      <c r="Z17" s="79"/>
      <c r="AA17" s="79"/>
      <c r="AB17" s="79"/>
    </row>
    <row r="18" spans="2:29" ht="12.75" customHeight="1">
      <c r="B18" s="80" t="s">
        <v>27</v>
      </c>
      <c r="C18" s="34"/>
      <c r="D18" s="40"/>
      <c r="E18" s="38"/>
      <c r="F18" s="38"/>
      <c r="G18" s="3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2:29" ht="24.9" customHeight="1">
      <c r="B19" s="80"/>
      <c r="C19" s="34"/>
      <c r="D19" s="81" t="s">
        <v>28</v>
      </c>
      <c r="E19" s="81"/>
      <c r="F19" s="81"/>
      <c r="G19" s="39"/>
      <c r="H19" s="82" t="s">
        <v>29</v>
      </c>
      <c r="I19" s="82"/>
      <c r="J19" s="82"/>
      <c r="K19" s="82"/>
      <c r="L19" s="82"/>
      <c r="M19" s="82"/>
      <c r="N19" s="82"/>
      <c r="O19" s="82"/>
      <c r="P19" s="34"/>
      <c r="Q19" s="34"/>
      <c r="R19" s="83" t="s">
        <v>30</v>
      </c>
      <c r="S19" s="83"/>
      <c r="T19" s="83"/>
      <c r="U19" s="83"/>
      <c r="V19" s="83"/>
      <c r="W19" s="83"/>
      <c r="X19" s="82" t="s">
        <v>10519</v>
      </c>
      <c r="Y19" s="82"/>
      <c r="Z19" s="82"/>
      <c r="AA19" s="82"/>
      <c r="AB19" s="82"/>
      <c r="AC19" s="8"/>
    </row>
    <row r="20" spans="2:29" ht="24.9" customHeight="1">
      <c r="B20" s="80"/>
      <c r="C20" s="34"/>
      <c r="D20" s="67" t="s">
        <v>31</v>
      </c>
      <c r="E20" s="67"/>
      <c r="F20" s="67"/>
      <c r="G20" s="36"/>
      <c r="H20" s="84" t="s">
        <v>10415</v>
      </c>
      <c r="I20" s="84"/>
      <c r="J20" s="84"/>
      <c r="K20" s="84"/>
      <c r="L20" s="84"/>
      <c r="M20" s="84"/>
      <c r="N20" s="84"/>
      <c r="O20" s="84"/>
      <c r="P20" s="39"/>
      <c r="Q20" s="39"/>
      <c r="R20" s="67"/>
      <c r="S20" s="67"/>
      <c r="T20" s="67"/>
      <c r="U20" s="67"/>
      <c r="V20" s="67"/>
      <c r="W20" s="35"/>
      <c r="X20" s="85"/>
      <c r="Y20" s="85"/>
      <c r="Z20" s="85"/>
      <c r="AA20" s="85"/>
      <c r="AB20" s="85"/>
      <c r="AC20" s="8"/>
    </row>
    <row r="21" spans="2:29" ht="24.9" customHeight="1">
      <c r="B21" s="80"/>
      <c r="C21" s="34"/>
      <c r="D21" s="67" t="s">
        <v>32</v>
      </c>
      <c r="E21" s="67"/>
      <c r="F21" s="67"/>
      <c r="G21" s="35"/>
      <c r="H21" s="84" t="s">
        <v>10416</v>
      </c>
      <c r="I21" s="84"/>
      <c r="J21" s="84"/>
      <c r="K21" s="84"/>
      <c r="L21" s="84"/>
      <c r="M21" s="84"/>
      <c r="N21" s="84"/>
      <c r="O21" s="84"/>
      <c r="P21" s="34"/>
      <c r="Q21" s="34"/>
      <c r="R21" s="41"/>
      <c r="S21" s="41"/>
      <c r="T21" s="41"/>
      <c r="U21" s="41"/>
      <c r="V21" s="41"/>
      <c r="W21" s="41"/>
      <c r="X21" s="42"/>
      <c r="Y21" s="42"/>
      <c r="Z21" s="42"/>
      <c r="AA21" s="42"/>
      <c r="AB21" s="42"/>
    </row>
    <row r="22" spans="2:29" ht="3.75" customHeight="1">
      <c r="B22" s="71" t="s">
        <v>33</v>
      </c>
      <c r="C22" s="34"/>
      <c r="D22" s="40"/>
      <c r="E22" s="36"/>
      <c r="F22" s="36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2:29" ht="18" customHeight="1">
      <c r="B23" s="71"/>
      <c r="C23" s="39"/>
      <c r="D23" s="72" t="str">
        <f>IFERROR(VLOOKUP((H19&amp;" - "&amp;H20&amp;" - "&amp;H21),Comentarios!A:D,4,0),"")</f>
        <v>Si el tipo de solicitud es una alta de usuario y/o cuenta de correo electrónico de nuevo ingreso, previamente debe levantar el ticket de la baja del servidor publico que deja el cargo e indicar el usuario y No. de ticket.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</row>
    <row r="24" spans="2:29" ht="18.75" customHeight="1">
      <c r="B24" s="71"/>
      <c r="C24" s="34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</row>
    <row r="25" spans="2:29" ht="18" customHeight="1">
      <c r="B25" s="71"/>
      <c r="C25" s="34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</row>
    <row r="26" spans="2:29" ht="18" customHeight="1">
      <c r="B26" s="71"/>
      <c r="C26" s="34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 spans="2:29" ht="18" customHeight="1">
      <c r="B27" s="71"/>
      <c r="C27" s="3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2:29" ht="18" customHeight="1">
      <c r="B28" s="75" t="s">
        <v>34</v>
      </c>
      <c r="C28" s="34"/>
      <c r="D28" s="72" t="str">
        <f>IFERROR(VLOOKUP((H19&amp;" - "&amp;H20&amp;" - "&amp;H21),Comentarios!A:E,5,0),"")</f>
        <v>En caso de solicitar un alta de usuario y/o de cuenta de correo electrónico para personal operativo, favor de indicar el detalle de las funciones del usuario que lo justifique.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</row>
    <row r="29" spans="2:29" ht="18" customHeight="1">
      <c r="B29" s="75"/>
      <c r="C29" s="34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</row>
    <row r="30" spans="2:29" ht="18" customHeight="1">
      <c r="B30" s="75"/>
      <c r="C30" s="34"/>
      <c r="D30" s="76" t="s">
        <v>10527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</row>
    <row r="31" spans="2:29" ht="18" customHeight="1">
      <c r="B31" s="75"/>
      <c r="C31" s="34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</row>
    <row r="32" spans="2:29" ht="18" customHeight="1">
      <c r="B32" s="75"/>
      <c r="C32" s="34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spans="1:29" ht="6.75" customHeight="1">
      <c r="B33" s="66" t="s">
        <v>35</v>
      </c>
      <c r="C33" s="40"/>
      <c r="D33" s="38"/>
      <c r="E33" s="38"/>
      <c r="F33" s="3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43"/>
    </row>
    <row r="34" spans="1:29" ht="24.9" customHeight="1">
      <c r="B34" s="66"/>
      <c r="C34" s="34"/>
      <c r="D34" s="67" t="s">
        <v>36</v>
      </c>
      <c r="E34" s="67"/>
      <c r="F34" s="67"/>
      <c r="G34" s="67"/>
      <c r="H34" s="67"/>
      <c r="I34" s="35"/>
      <c r="J34" s="35"/>
      <c r="K34" s="68" t="s">
        <v>10520</v>
      </c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8"/>
    </row>
    <row r="35" spans="1:29" s="8" customFormat="1" ht="24.9" customHeight="1">
      <c r="A35" s="3"/>
      <c r="B35" s="66"/>
      <c r="C35" s="34"/>
      <c r="D35" s="36" t="s">
        <v>37</v>
      </c>
      <c r="E35" s="36"/>
      <c r="F35" s="36"/>
      <c r="G35" s="36"/>
      <c r="H35" s="34"/>
      <c r="I35" s="39"/>
      <c r="J35" s="39"/>
      <c r="K35" s="69" t="s">
        <v>8887</v>
      </c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 spans="1:29" ht="0.75" customHeight="1">
      <c r="B36" s="30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37"/>
    </row>
    <row r="37" spans="1:29" ht="20.25" customHeight="1">
      <c r="B37" s="60" t="s">
        <v>38</v>
      </c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37"/>
    </row>
    <row r="38" spans="1:29" ht="20.100000000000001" customHeight="1">
      <c r="B38" s="60"/>
      <c r="C38" s="34"/>
      <c r="D38" s="61" t="str">
        <f>IFERROR(VLOOKUP((H19&amp;" - "&amp;H20&amp;" - "&amp;H21),Comentarios!A:F,6,0),"")</f>
        <v>USUARIO</v>
      </c>
      <c r="E38" s="61"/>
      <c r="F38" s="61"/>
      <c r="G38" s="61"/>
      <c r="H38" s="61"/>
      <c r="I38" s="44"/>
      <c r="J38" s="44"/>
      <c r="K38" s="62" t="str">
        <f>IFERROR(VLOOKUP((H19&amp;" - "&amp;H20&amp;" - "&amp;H21),Comentarios!A:G,7,0),"")</f>
        <v>ENLACE INFORMATICO</v>
      </c>
      <c r="L38" s="62"/>
      <c r="M38" s="62"/>
      <c r="N38" s="62"/>
      <c r="O38" s="62"/>
      <c r="P38" s="62"/>
      <c r="Q38" s="62"/>
      <c r="R38" s="62"/>
      <c r="S38" s="44"/>
      <c r="T38" s="62" t="str">
        <f>IFERROR(VLOOKUP((H19&amp;" - "&amp;H20&amp;" - "&amp;H21),Comentarios!A:H,8,0),"")</f>
        <v>JEFE DE SERVICIOS O SUPERIOR</v>
      </c>
      <c r="U38" s="62"/>
      <c r="V38" s="62"/>
      <c r="W38" s="62"/>
      <c r="X38" s="62"/>
      <c r="Y38" s="62"/>
      <c r="Z38" s="62"/>
      <c r="AA38" s="62"/>
      <c r="AB38" s="62"/>
    </row>
    <row r="39" spans="1:29" ht="20.100000000000001" customHeight="1">
      <c r="B39" s="60"/>
      <c r="C39" s="34"/>
      <c r="D39" s="63" t="str">
        <f>CONCATENATE(H10," ",T10)</f>
        <v>Zaira Colorado Rodríguez</v>
      </c>
      <c r="E39" s="63"/>
      <c r="F39" s="63"/>
      <c r="G39" s="63"/>
      <c r="H39" s="63"/>
      <c r="I39" s="44"/>
      <c r="J39" s="44"/>
      <c r="K39" s="64" t="s">
        <v>10521</v>
      </c>
      <c r="L39" s="64"/>
      <c r="M39" s="64"/>
      <c r="N39" s="64"/>
      <c r="O39" s="64"/>
      <c r="P39" s="64"/>
      <c r="Q39" s="64"/>
      <c r="R39" s="64"/>
      <c r="S39" s="44"/>
      <c r="T39" s="64" t="s">
        <v>10520</v>
      </c>
      <c r="U39" s="64"/>
      <c r="V39" s="64"/>
      <c r="W39" s="64"/>
      <c r="X39" s="64"/>
      <c r="Y39" s="64"/>
      <c r="Z39" s="64"/>
      <c r="AA39" s="64"/>
      <c r="AB39" s="64"/>
    </row>
    <row r="40" spans="1:29" ht="12.75" customHeight="1">
      <c r="B40" s="60"/>
      <c r="C40" s="3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45"/>
    </row>
    <row r="41" spans="1:29" ht="12.75" customHeight="1">
      <c r="B41" s="60"/>
      <c r="C41" s="3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45"/>
    </row>
    <row r="42" spans="1:29" ht="12.75" customHeight="1">
      <c r="B42" s="60"/>
      <c r="C42" s="3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46"/>
    </row>
    <row r="43" spans="1:29" ht="12.75" customHeight="1">
      <c r="B43" s="60"/>
      <c r="C43" s="34"/>
      <c r="D43" s="47"/>
      <c r="E43" s="47"/>
      <c r="F43" s="47"/>
      <c r="G43" s="47"/>
      <c r="H43" s="47"/>
      <c r="I43" s="37"/>
      <c r="J43" s="37"/>
      <c r="K43" s="47"/>
      <c r="L43" s="47"/>
      <c r="M43" s="47"/>
      <c r="N43" s="47"/>
      <c r="O43" s="47"/>
      <c r="P43" s="47"/>
      <c r="Q43" s="47"/>
      <c r="R43" s="47"/>
      <c r="S43" s="37"/>
      <c r="T43" s="65"/>
      <c r="U43" s="65"/>
      <c r="V43" s="65"/>
      <c r="W43" s="65"/>
      <c r="X43" s="65"/>
      <c r="Y43" s="65"/>
      <c r="Z43" s="65"/>
      <c r="AA43" s="65"/>
      <c r="AB43" s="65"/>
    </row>
    <row r="44" spans="1:29" ht="9.75" customHeight="1"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</row>
    <row r="45" spans="1:29" ht="9.75" customHeight="1">
      <c r="B45" s="70" t="str">
        <f>IFERROR(VLOOKUP((H19&amp;" - "&amp;H20&amp;" - "&amp;H21),Comentarios!A:I,9,0),"")</f>
        <v>El presente documento es una responsiva mediante la cual el usuario acepta las Políticas de uso del servicio solicitado,  publicadas en la Intranet del Instituto en el siguiente link: https://www.issste.gob.mx/intranet/direccionnormativa/adminitracionyfinanzas/sudireccion/masinfo/acuerdotic.html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1:29" ht="18" customHeight="1"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1:29" ht="33.75" customHeight="1"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1:29" ht="18" customHeight="1">
      <c r="D48" s="10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5"/>
      <c r="V48" s="5"/>
      <c r="W48" s="5"/>
      <c r="X48" s="5"/>
      <c r="Y48" s="5"/>
      <c r="Z48" s="10"/>
      <c r="AA48" s="10"/>
      <c r="AB48" s="10"/>
    </row>
    <row r="49" spans="4:28" ht="18" customHeight="1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5"/>
      <c r="V49" s="5"/>
      <c r="W49" s="5"/>
      <c r="X49" s="5"/>
      <c r="Y49" s="5"/>
      <c r="Z49" s="10"/>
      <c r="AA49" s="10"/>
      <c r="AB49" s="10"/>
    </row>
    <row r="50" spans="4:28" ht="18" customHeight="1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58"/>
      <c r="V50" s="59"/>
      <c r="W50" s="5"/>
      <c r="X50" s="5"/>
      <c r="Y50" s="5"/>
      <c r="Z50" s="10"/>
      <c r="AA50" s="10"/>
      <c r="AB50" s="10"/>
    </row>
    <row r="51" spans="4:28" ht="18" customHeight="1"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59"/>
      <c r="V51" s="59"/>
      <c r="W51" s="5"/>
      <c r="X51" s="5"/>
      <c r="Y51" s="5"/>
      <c r="Z51" s="10"/>
      <c r="AA51" s="10"/>
      <c r="AB51" s="10"/>
    </row>
    <row r="52" spans="4:28" ht="18" customHeight="1"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5"/>
      <c r="V52" s="5"/>
      <c r="W52" s="5"/>
      <c r="X52" s="5"/>
      <c r="Y52" s="5"/>
      <c r="Z52" s="10"/>
      <c r="AA52" s="10"/>
      <c r="AB52" s="10"/>
    </row>
    <row r="53" spans="4:28" ht="18" customHeight="1"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5"/>
      <c r="V53" s="5"/>
      <c r="W53" s="5"/>
      <c r="X53" s="5"/>
      <c r="Y53" s="5"/>
      <c r="Z53" s="10"/>
      <c r="AA53" s="10"/>
      <c r="AB53" s="10"/>
    </row>
    <row r="54" spans="4:28" ht="18" customHeight="1"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5"/>
      <c r="V54" s="5"/>
      <c r="W54" s="5"/>
      <c r="X54" s="5"/>
      <c r="Y54" s="5"/>
      <c r="Z54" s="10"/>
      <c r="AA54" s="10"/>
      <c r="AB54" s="10"/>
    </row>
    <row r="55" spans="4:28" ht="18" customHeight="1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4:28" ht="18" customHeight="1"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4:28" ht="18" customHeight="1"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4:28" ht="18" customHeight="1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4:28" ht="18" customHeight="1"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4:28" ht="18" customHeight="1"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4:28" ht="18" customHeight="1"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4:28" ht="18" customHeight="1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4:28" ht="18" customHeight="1"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4:28" ht="18" customHeight="1"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4:28" ht="18" customHeight="1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4:28" ht="18" customHeight="1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4:28" ht="18" customHeight="1"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4:28" ht="18" customHeight="1"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4:28" ht="18" customHeight="1"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4:28" ht="18" customHeight="1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4:28" ht="18" customHeight="1"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4:28" ht="18" customHeight="1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4:28" ht="18" customHeight="1"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4:28" ht="18" customHeight="1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4:28" ht="18" customHeight="1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4:28" ht="18" customHeight="1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4:28" ht="18" customHeigh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4:28" ht="18" customHeight="1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4:28" ht="18" customHeight="1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4:28" ht="18" customHeigh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4:28" ht="18" customHeight="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4:28" ht="18" customHeight="1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4:28" ht="18" customHeight="1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4:28" ht="18" customHeight="1"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4:28" ht="18" customHeight="1"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4:28" ht="18" customHeight="1"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4:28" ht="18" customHeight="1"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4:28" ht="18" customHeight="1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4:28" ht="18" customHeight="1"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4:28" ht="18" customHeight="1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4:28" ht="18" customHeight="1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4:28" ht="18" customHeight="1"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4:28" ht="18" customHeight="1"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4:28" ht="18" customHeight="1"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4:28" ht="18" customHeight="1"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4:28" ht="18" customHeight="1"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4:28" ht="18" customHeight="1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4:28" ht="18" customHeight="1"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4:28" ht="18" customHeight="1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4:28" ht="18" customHeight="1"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4:28" ht="18" customHeight="1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4:28" ht="18" customHeight="1"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4:28" ht="18" customHeight="1"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4:28" ht="18" customHeight="1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4:28" ht="18" customHeight="1"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4:28" ht="18" customHeight="1"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4:28" ht="18" customHeight="1"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4:28" ht="18" customHeight="1"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4:28" ht="18" customHeight="1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4:28" ht="18" customHeight="1"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4:28" ht="18" customHeight="1"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4:28" ht="18" customHeight="1"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4:28" ht="18" customHeight="1"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4:28" ht="18" customHeight="1"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4:28" ht="18" customHeight="1"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4:28" ht="18" customHeight="1"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4:28" ht="18" customHeight="1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4:28" ht="18" customHeight="1"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4:28" ht="18" customHeight="1"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4:28" ht="18" customHeight="1"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4:28" ht="18" customHeight="1"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4:28" ht="18" customHeight="1"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4:28" ht="18" customHeight="1"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4:28" ht="18" customHeight="1"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4:28" ht="18" customHeight="1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4:28" ht="18" customHeight="1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4:28" ht="18" customHeight="1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4:28" ht="18" customHeight="1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4:28" ht="18" customHeight="1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4:28" ht="18" customHeight="1"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4:28" ht="18" customHeight="1"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4:28" ht="18" customHeight="1"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4:28" ht="18" customHeight="1"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4:28" ht="18" customHeight="1"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4:28" ht="18" customHeight="1"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4:28" ht="18" customHeight="1"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4:28" ht="18" customHeight="1"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4:28" ht="18" customHeight="1"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4:28" ht="18" customHeight="1"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4:28" ht="18" customHeight="1"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4:28" ht="18" customHeight="1"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4:28" ht="18" customHeight="1"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4:28" ht="18" customHeight="1"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4:28" ht="18" customHeight="1"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4:28" ht="18" customHeight="1"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4:28" ht="18" customHeight="1"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4:28" ht="18" customHeight="1"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4:28" ht="18" customHeight="1"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4:28" ht="18" customHeight="1"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4:28" ht="18" customHeight="1"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4:28" ht="18" customHeight="1"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4:28" ht="18" customHeight="1"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4:28" ht="18" customHeight="1"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4:28" ht="18" customHeight="1"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4:28" ht="18" customHeight="1"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4:28" ht="18" customHeight="1"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4:28" ht="18" customHeight="1"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4:28" ht="18" customHeight="1"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4:28" ht="18" customHeight="1"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4:28" ht="18" customHeight="1"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4:28" ht="18" customHeight="1"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4:28" ht="18" customHeight="1"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4:28" ht="18" customHeight="1"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4:28" ht="18" customHeight="1"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4:28" ht="18" customHeight="1"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4:28" ht="18" customHeight="1"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4:28" ht="18" customHeight="1"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4:28" ht="18" customHeight="1"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4:28" ht="18" customHeight="1"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4:28" ht="18" customHeight="1"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4:28" ht="18" customHeight="1"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4:28" ht="18" customHeight="1"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4:28" ht="18" customHeight="1"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4:28" ht="18" customHeight="1"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4:28" ht="18" customHeight="1"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4:28" ht="18" customHeight="1"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4:28" ht="18" customHeight="1"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4:28" ht="18" customHeight="1"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4:28" ht="18" customHeight="1"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4:28" ht="18" customHeight="1"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4:28" ht="18" customHeight="1"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4:28" ht="18" customHeight="1"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4:28" ht="18" customHeight="1"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4:28" ht="18" customHeight="1"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4:28" ht="18" customHeight="1"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4:28" ht="18" customHeight="1"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4:28" ht="18" customHeight="1"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4:28" ht="18" customHeight="1"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4:28" ht="18" customHeight="1"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4:28" ht="18" customHeight="1"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4:28" ht="18" customHeight="1"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4:28" ht="18" customHeight="1"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4:28" ht="18" customHeight="1"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4:28" ht="18" customHeight="1"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4:28" ht="18" customHeight="1"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4:28" ht="18" customHeight="1"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4:28" ht="18" customHeight="1"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4:28" ht="18" customHeight="1"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4:28" ht="18" customHeight="1"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4:28" ht="18" customHeight="1"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4:28" ht="18" customHeight="1"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4:28" ht="18" customHeight="1"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4:28" ht="18" customHeight="1"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4:28" ht="18" customHeight="1"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4:28" ht="18" customHeight="1"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4:28" ht="18" customHeight="1"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4:28" ht="18" customHeight="1"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4:28" ht="18" customHeight="1"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4:28" ht="18" customHeight="1"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4:28" ht="18" customHeight="1"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4:28" ht="18" customHeight="1"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4:28" ht="18" customHeight="1"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4:28" ht="18" customHeight="1"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4:28" ht="18" customHeight="1"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4:28" ht="18" customHeight="1"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4:28" ht="18" customHeight="1"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4:28" ht="18" customHeight="1"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4:28" ht="18" customHeight="1"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4:28" ht="18" customHeight="1"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4:28" ht="18" customHeight="1"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4:28" ht="18" customHeight="1"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4:28" ht="18" customHeight="1"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4:28" ht="18" customHeight="1"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4:28" ht="18" customHeight="1"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4:28" ht="18" customHeight="1"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4:28" ht="18" customHeight="1"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4:28" ht="18" customHeight="1"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4:28" ht="18" customHeight="1"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4:28" ht="18" customHeight="1"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4:28" ht="18" customHeight="1"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4:28" ht="18" customHeight="1"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4:28" ht="18" customHeight="1"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4:28" ht="18" customHeight="1"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4:28" ht="18" customHeight="1"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4:28" ht="18" customHeight="1"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4:28" ht="18" customHeight="1"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4:28" ht="18" customHeight="1"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4:28" ht="18" customHeight="1"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4:28" ht="18" customHeight="1"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4:28" ht="18" customHeight="1"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4:28" ht="18" customHeight="1"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4:28" ht="18" customHeight="1"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4:28" ht="18" customHeight="1"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4:28" ht="18" customHeight="1"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4:28" ht="18" customHeight="1"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4:28" ht="18" customHeight="1"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4:28" ht="18" customHeight="1"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4:28" ht="18" customHeight="1"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4:28" ht="18" customHeight="1"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4:28" ht="18" customHeight="1"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4:28" ht="18" customHeight="1"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4:28" ht="18" customHeight="1"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4:28" ht="18" customHeight="1"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4:28" ht="18" customHeight="1"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4:28" ht="18" customHeight="1"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4:28" ht="18" customHeight="1"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4:28" ht="18" customHeight="1"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4:28" ht="18" customHeight="1"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4:28" ht="18" customHeight="1"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4:28" ht="18" customHeight="1"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4:28" ht="18" customHeight="1"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4:28" ht="18" customHeight="1"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4:28" ht="18" customHeight="1"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4:28" ht="18" customHeight="1"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4:28" ht="18" customHeight="1"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4:28" ht="18" customHeight="1"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4:28" ht="18" customHeight="1"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4:28" ht="18" customHeight="1"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4:28" ht="18" customHeight="1"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4:28" ht="18" customHeight="1"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4:28" ht="18" customHeight="1"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4:28" ht="18" customHeight="1"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4:28" ht="18" customHeight="1"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4:28" ht="18" customHeight="1"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4:28" ht="18" customHeight="1"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4:28" ht="18" customHeight="1"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4:28" ht="18" customHeight="1"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4:28" ht="18" customHeight="1"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4:28" ht="18" customHeight="1"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4:28" ht="18" customHeight="1"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4:28" ht="18" customHeight="1"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4:28" ht="18" customHeight="1"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4:28" ht="18" customHeight="1"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4:28" ht="18" customHeight="1"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4:28" ht="18" customHeight="1"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4:28" ht="18" customHeight="1"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4:28" ht="18" customHeight="1"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4:28" ht="18" customHeight="1"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4:28" ht="18" customHeight="1"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4:28" ht="18" customHeight="1"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4:28" ht="18" customHeight="1"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4:28" ht="18" customHeight="1"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4:28" ht="18" customHeight="1"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4:28" ht="18" customHeight="1"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4:28" ht="18" customHeight="1"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4:28" ht="18" customHeight="1"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4:28" ht="18" customHeight="1"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4:28" ht="18" customHeight="1"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4:28" ht="18" customHeight="1"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4:28" ht="18" customHeight="1"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4:28" ht="18" customHeight="1"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4:28" ht="18" customHeight="1"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4:28" ht="18" customHeight="1"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4:28" ht="18" customHeight="1"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4:28" ht="18" customHeight="1"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4:28" ht="18" customHeight="1"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4:28" ht="18" customHeight="1"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4:28" ht="18" customHeight="1"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4:28" ht="18" customHeight="1"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4:28" ht="18" customHeight="1"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4:28" ht="18" customHeight="1"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4:28" ht="18" customHeight="1"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4:28" ht="18" customHeight="1"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4:28" ht="18" customHeight="1"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4:28" ht="18" customHeight="1"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4:28" ht="18" customHeight="1"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4:28" ht="18" customHeight="1"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4:28" ht="18" customHeight="1"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4:28" ht="18" customHeight="1"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4:28" ht="18" customHeight="1"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4:28" ht="18" customHeight="1"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4:28" ht="18" customHeight="1"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4:28" ht="18" customHeight="1"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4:28" ht="18" customHeight="1"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4:28" ht="18" customHeight="1"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4:28" ht="18" customHeight="1"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4:28" ht="18" customHeight="1"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4:28" ht="18" customHeight="1"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4:28" ht="18" customHeight="1"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4:28" ht="18" customHeight="1"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4:28" ht="18" customHeight="1"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4:28" ht="18" customHeight="1"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4:28" ht="18" customHeight="1"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4:28" ht="18" customHeight="1"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4:28" ht="18" customHeight="1"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4:28" ht="18" customHeight="1"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4:28" ht="18" customHeight="1"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4:28" ht="18" customHeight="1"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4:28" ht="18" customHeight="1"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4:28" ht="18" customHeight="1"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4:28" ht="18" customHeight="1"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4:28" ht="18" customHeight="1"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4:28" ht="18" customHeight="1"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4:28" ht="18" customHeight="1"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4:28" ht="18" customHeight="1"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4:28" ht="18" customHeight="1"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4:28" ht="18" customHeight="1"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4:28" ht="18" customHeight="1"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4:28" ht="18" customHeight="1"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4:28" ht="18" customHeight="1"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4:28" ht="18" customHeight="1"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4:28" ht="18" customHeight="1"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4:28" ht="18" customHeight="1"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4:28" ht="18" customHeight="1"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4:28" ht="18" customHeight="1"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4:28" ht="18" customHeight="1"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4:28" ht="18" customHeight="1"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4:28" ht="18" customHeight="1"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4:28" ht="18" customHeight="1"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4:28" ht="18" customHeight="1"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4:28" ht="18" customHeight="1"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4:28" ht="18" customHeight="1"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4:28" ht="18" customHeight="1"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4:28" ht="18" customHeight="1"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4:28" ht="18" customHeight="1"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4:28" ht="18" customHeight="1"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4:28" ht="18" customHeight="1"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4:28" ht="18" customHeight="1"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4:28" ht="18" customHeight="1"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4:28" ht="18" customHeight="1"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4:28" ht="18" customHeight="1"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4:28" ht="18" customHeight="1"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4:28" ht="18" customHeight="1"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4:28" ht="18" customHeight="1"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4:28" ht="18" customHeight="1"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4:28" ht="18" customHeight="1"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4:28" ht="18" customHeight="1"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4:28" ht="18" customHeight="1"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4:28" ht="18" customHeight="1"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4:28" ht="18" customHeight="1"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4:28" ht="18" customHeight="1"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4:28" ht="18" customHeight="1"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4:28" ht="18" customHeight="1"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4:28" ht="18" customHeight="1"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4:28" ht="18" customHeight="1"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4:28" ht="18" customHeight="1"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4:28" ht="18" customHeight="1"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4:28" ht="18" customHeight="1"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4:28" ht="18" customHeight="1"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4:28" ht="18" customHeight="1"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4:28" ht="18" customHeight="1"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4:28" ht="18" customHeight="1"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4:28" ht="18" customHeight="1"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4:28" ht="18" customHeight="1"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4:28" ht="18" customHeight="1"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4:28" ht="18" customHeight="1"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4:28" ht="18" customHeight="1"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4:28" ht="18" customHeight="1"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4:28" ht="18" customHeight="1"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4:28" ht="18" customHeight="1"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4:28" ht="18" customHeight="1"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4:28" ht="18" customHeight="1"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4:28" ht="18" customHeight="1"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4:28" ht="18" customHeight="1"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4:28" ht="18" customHeight="1"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4:28" ht="18" customHeight="1"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4:28" ht="18" customHeight="1"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4:28" ht="18" customHeight="1"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4:28" ht="18" customHeight="1"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4:28" ht="18" customHeight="1"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4:28" ht="18" customHeight="1"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4:28" ht="18" customHeight="1"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4:28" ht="18" customHeight="1"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4:28" ht="18" customHeight="1"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4:28" ht="18" customHeight="1"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4:28" ht="18" customHeight="1"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4:28" ht="18" customHeight="1"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4:28" ht="18" customHeight="1"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4:28" ht="18" customHeight="1"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4:28" ht="18" customHeight="1"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4:28" ht="18" customHeight="1"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4:28" ht="18" customHeight="1"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4:28" ht="18" customHeight="1"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4:28" ht="18" customHeight="1"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4:28" ht="18" customHeight="1"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4:28" ht="18" customHeight="1"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4:28" ht="18" customHeight="1"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4:28" ht="18" customHeight="1"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4:28" ht="18" customHeight="1"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4:28" ht="18" customHeight="1"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4:28" ht="18" customHeight="1"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4:28" ht="18" customHeight="1"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4:28" ht="18" customHeight="1"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4:28" ht="18" customHeight="1"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4:28" ht="18" customHeight="1"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4:28" ht="18" customHeight="1"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4:28" ht="18" customHeight="1"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4:28" ht="18" customHeight="1"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4:28" ht="18" customHeight="1"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4:28" ht="18" customHeight="1"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4:28" ht="18" customHeight="1"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4:28" ht="18" customHeight="1"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4:28" ht="18" customHeight="1"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4:28" ht="18" customHeight="1"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4:28" ht="18" customHeight="1"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4:28" ht="18" customHeight="1"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4:28" ht="18" customHeight="1"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4:28" ht="18" customHeight="1"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4:28" ht="18" customHeight="1"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4:28" ht="18" customHeight="1"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4:28" ht="18" customHeight="1"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4:28" ht="18" customHeight="1"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4:28" ht="18" customHeight="1"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4:28" ht="18" customHeight="1"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4:28" ht="18" customHeight="1"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4:28" ht="18" customHeight="1"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4:28" ht="18" customHeight="1"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4:28" ht="18" customHeight="1"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4:28" ht="18" customHeight="1"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4:28" ht="18" customHeight="1"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4:28" ht="18" customHeight="1"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4:28" ht="18" customHeight="1"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4:28" ht="18" customHeight="1"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4:28" ht="18" customHeight="1"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4:28" ht="18" customHeight="1"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4:28" ht="18" customHeight="1"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4:28" ht="18" customHeight="1"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4:28" ht="18" customHeight="1"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4:28" ht="18" customHeight="1"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4:28" ht="18" customHeight="1"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4:28" ht="18" customHeight="1"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4:28" ht="18" customHeight="1"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4:28" ht="18" customHeight="1"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4:28" ht="18" customHeight="1"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4:28" ht="18" customHeight="1"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4:28" ht="18" customHeight="1"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4:28" ht="18" customHeight="1"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4:28" ht="18" customHeight="1"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4:28" ht="18" customHeight="1"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4:28" ht="18" customHeight="1"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4:28" ht="18" customHeight="1"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4:28" ht="18" customHeight="1"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4:28" ht="18" customHeight="1"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4:28" ht="18" customHeight="1"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4:28" ht="18" customHeight="1"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4:28" ht="18" customHeight="1"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4:28" ht="18" customHeight="1"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4:28" ht="18" customHeight="1"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4:28" ht="18" customHeight="1"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4:28" ht="18" customHeight="1"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4:28" ht="18" customHeight="1"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4:28" ht="18" customHeight="1"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4:28" ht="18" customHeight="1"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4:28" ht="18" customHeight="1"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4:28" ht="18" customHeight="1"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4:28" ht="18" customHeight="1"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4:28" ht="18" customHeight="1"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4:28" ht="18" customHeight="1"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4:28" ht="18" customHeight="1"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4:28" ht="18" customHeight="1"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4:28" ht="18" customHeight="1"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4:28" ht="18" customHeight="1"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4:28" ht="18" customHeight="1"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4:28" ht="18" customHeight="1"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4:28" ht="18" customHeight="1"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4:28" ht="18" customHeight="1"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4:28" ht="18" customHeight="1"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4:28" ht="18" customHeight="1"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4:28" ht="18" customHeight="1"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4:28" ht="18" customHeight="1"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4:28" ht="18" customHeight="1"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4:28" ht="18" customHeight="1"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4:28" ht="18" customHeight="1"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4:28" ht="18" customHeight="1"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4:28" ht="18" customHeight="1"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4:28" ht="18" customHeight="1"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4:28" ht="18" customHeight="1"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4:28" ht="18" customHeight="1"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4:28" ht="18" customHeight="1"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4:28" ht="18" customHeight="1"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4:28" ht="18" customHeight="1"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4:28" ht="18" customHeight="1"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4:28" ht="18" customHeight="1"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4:28" ht="18" customHeight="1"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4:28" ht="18" customHeight="1"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4:28" ht="18" customHeight="1"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4:28" ht="18" customHeight="1"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4:28" ht="18" customHeight="1"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4:28" ht="18" customHeight="1"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4:28" ht="18" customHeight="1"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4:28" ht="18" customHeight="1"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4:28" ht="18" customHeight="1"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4:28" ht="18" customHeight="1"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4:28" ht="18" customHeight="1"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4:28" ht="18" customHeight="1"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4:28" ht="18" customHeight="1"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4:28" ht="18" customHeight="1"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4:28" ht="18" customHeight="1"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4:28" ht="18" customHeight="1"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4:28" ht="18" customHeight="1"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4:28" ht="18" customHeight="1"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4:28" ht="18" customHeight="1"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4:28" ht="18" customHeight="1"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4:28" ht="18" customHeight="1"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4:28" ht="18" customHeight="1"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4:28" ht="18" customHeight="1"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4:28" ht="18" customHeight="1"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4:28" ht="18" customHeight="1"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4:28" ht="18" customHeight="1"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4:28" ht="18" customHeight="1"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4:28" ht="18" customHeight="1"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4:28" ht="18" customHeight="1"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4:28" ht="18" customHeight="1"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4:28" ht="18" customHeight="1"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4:28" ht="18" customHeight="1"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4:28" ht="18" customHeight="1"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4:28" ht="18" customHeight="1"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4:28" ht="18" customHeight="1"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4:28" ht="18" customHeight="1"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4:28" ht="18" customHeight="1"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4:28" ht="18" customHeight="1"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4:28" ht="18" customHeight="1"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4:28" ht="18" customHeight="1"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4:28" ht="18" customHeight="1"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4:28" ht="18" customHeight="1"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4:28" ht="18" customHeight="1"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4:28" ht="18" customHeight="1"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4:28" ht="18" customHeight="1"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4:28" ht="18" customHeight="1"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4:28" ht="18" customHeight="1"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4:28" ht="18" customHeight="1"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4:28" ht="18" customHeight="1"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4:28" ht="18" customHeight="1"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4:28" ht="18" customHeight="1"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4:28" ht="18" customHeight="1"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4:28" ht="18" customHeight="1"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4:28" ht="18" customHeight="1"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4:28" ht="18" customHeight="1"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4:28" ht="18" customHeight="1"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4:28" ht="18" customHeight="1"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4:28" ht="18" customHeight="1"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4:28" ht="18" customHeight="1"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4:28" ht="18" customHeight="1"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4:28" ht="18" customHeight="1"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4:28" ht="18" customHeight="1"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4:28" ht="18" customHeight="1"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4:28" ht="18" customHeight="1"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4:28" ht="18" customHeight="1"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4:28" ht="18" customHeight="1"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4:28" ht="18" customHeight="1"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4:28" ht="18" customHeight="1"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4:28" ht="18" customHeight="1"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4:28" ht="18" customHeight="1"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4:28" ht="18" customHeight="1"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4:28" ht="18" customHeight="1"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4:28" ht="18" customHeight="1"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4:28" ht="18" customHeight="1"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4:28" ht="18" customHeight="1"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4:28" ht="18" customHeight="1"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4:28" ht="18" customHeight="1"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4:28" ht="18" customHeight="1"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4:28" ht="18" customHeight="1"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4:28" ht="18" customHeight="1"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4:28" ht="18" customHeight="1"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4:28" ht="18" customHeight="1"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4:28" ht="18" customHeight="1"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4:28" ht="18" customHeight="1"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4:28" ht="18" customHeight="1"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4:28" ht="18" customHeight="1"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4:28" ht="18" customHeight="1"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4:28" ht="18" customHeight="1"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4:28" ht="18" customHeight="1"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4:28" ht="18" customHeight="1"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4:28" ht="18" customHeight="1"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4:28" ht="18" customHeight="1"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4:28" ht="18" customHeight="1"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4:28" ht="18" customHeight="1"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4:28" ht="18" customHeight="1"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4:28" ht="18" customHeight="1"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4:28" ht="18" customHeight="1"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4:28" ht="18" customHeight="1"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4:28" ht="18" customHeight="1"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4:28" ht="18" customHeight="1"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4:28" ht="18" customHeight="1"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4:28" ht="18" customHeight="1"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4:28" ht="18" customHeight="1"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4:28" ht="18" customHeight="1"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4:28" ht="18" customHeight="1"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4:28" ht="18" customHeight="1"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4:28" ht="18" customHeight="1"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4:28" ht="18" customHeight="1"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4:28" ht="18" customHeight="1"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4:28" ht="18" customHeight="1"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4:28" ht="18" customHeight="1"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4:28" ht="18" customHeight="1"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4:28" ht="18" customHeight="1"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4:28" ht="18" customHeight="1"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4:28" ht="18" customHeight="1"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4:28" ht="18" customHeight="1"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4:28" ht="18" customHeight="1"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4:28" ht="18" customHeight="1"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4:28" ht="18" customHeight="1"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4:28" ht="18" customHeight="1"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4:28" ht="18" customHeight="1"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4:28" ht="18" customHeight="1"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4:28" ht="18" customHeight="1"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4:28" ht="18" customHeight="1"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4:28" ht="18" customHeight="1"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4:28" ht="18" customHeight="1"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4:28" ht="18" customHeight="1"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4:28" ht="18" customHeight="1"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4:28" ht="18" customHeight="1"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4:28" ht="18" customHeight="1"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4:28" ht="18" customHeight="1"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4:28" ht="18" customHeight="1"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4:28" ht="18" customHeight="1"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4:28" ht="18" customHeight="1"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4:28" ht="18" customHeight="1"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4:28" ht="18" customHeight="1"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4:28" ht="18" customHeight="1"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4:28" ht="18" customHeight="1"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4:28" ht="18" customHeight="1"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4:28" ht="18" customHeight="1"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4:28" ht="18" customHeight="1"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4:28" ht="18" customHeight="1"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4:28" ht="18" customHeight="1"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4:28" ht="18" customHeight="1"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4:28" ht="18" customHeight="1"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4:28" ht="18" customHeight="1"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4:28" ht="18" customHeight="1"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4:28" ht="18" customHeight="1"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4:28" ht="18" customHeight="1"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4:28" ht="18" customHeight="1"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4:28" ht="18" customHeight="1"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4:28" ht="18" customHeight="1"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4:28" ht="18" customHeight="1"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4:28" ht="18" customHeight="1"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4:28" ht="18" customHeight="1"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4:28" ht="18" customHeight="1"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4:28" ht="18" customHeight="1"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4:28" ht="18" customHeight="1"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4:28" ht="18" customHeight="1"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4:28" ht="18" customHeight="1"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4:28" ht="18" customHeight="1"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4:28" ht="18" customHeight="1"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4:28" ht="18" customHeight="1"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4:28" ht="18" customHeight="1"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4:28" ht="18" customHeight="1"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4:28" ht="18" customHeight="1"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4:28" ht="18" customHeight="1"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4:28" ht="18" customHeight="1"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4:28" ht="18" customHeight="1"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4:28" ht="18" customHeight="1"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4:28" ht="18" customHeight="1"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4:28" ht="18" customHeight="1"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4:28" ht="18" customHeight="1"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4:28" ht="18" customHeight="1"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4:28" ht="18" customHeight="1"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4:28" ht="18" customHeight="1"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4:28" ht="18" customHeight="1"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4:28" ht="18" customHeight="1"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4:28" ht="18" customHeight="1"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4:28" ht="18" customHeight="1"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4:28" ht="18" customHeight="1"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4:28" ht="18" customHeight="1"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4:28" ht="18" customHeight="1"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4:28" ht="18" customHeight="1"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4:28" ht="18" customHeight="1"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4:28" ht="18" customHeight="1"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4:28" ht="18" customHeight="1"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4:28" ht="18" customHeight="1"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4:28" ht="18" customHeight="1"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4:28" ht="18" customHeight="1"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4:28" ht="18" customHeight="1"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4:28" ht="18" customHeight="1"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4:28" ht="18" customHeight="1"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4:28" ht="18" customHeight="1"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4:28" ht="18" customHeight="1"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4:28" ht="18" customHeight="1"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4:28" ht="18" customHeight="1"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4:28" ht="18" customHeight="1"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4:28" ht="18" customHeight="1"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4:28" ht="18" customHeight="1"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4:28" ht="18" customHeight="1"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4:28" ht="18" customHeight="1"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4:28" ht="18" customHeight="1"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4:28" ht="18" customHeight="1"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4:28" ht="18" customHeight="1"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4:28" ht="18" customHeight="1"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4:28" ht="18" customHeight="1"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4:28" ht="18" customHeight="1"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4:28" ht="18" customHeight="1"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4:28" ht="18" customHeight="1"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4:28" ht="18" customHeight="1"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4:28" ht="18" customHeight="1"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4:28" ht="18" customHeight="1"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4:28" ht="18" customHeight="1"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4:28" ht="18" customHeight="1"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4:28" ht="18" customHeight="1"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4:28" ht="18" customHeight="1"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4:28" ht="18" customHeight="1"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4:28" ht="18" customHeight="1"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4:28" ht="18" customHeight="1"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4:28" ht="18" customHeight="1"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4:28" ht="18" customHeight="1"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4:28" ht="18" customHeight="1"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4:28" ht="18" customHeight="1"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4:28" ht="18" customHeight="1"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4:28" ht="18" customHeight="1"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4:28" ht="18" customHeight="1"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4:28" ht="18" customHeight="1"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4:28" ht="18" customHeight="1"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4:28" ht="18" customHeight="1"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4:28" ht="18" customHeight="1"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4:28" ht="18" customHeight="1"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4:28" ht="18" customHeight="1"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4:28" ht="18" customHeight="1"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4:28" ht="18" customHeight="1"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4:28" ht="18" customHeight="1"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4:28" ht="18" customHeight="1"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4:28" ht="18" customHeight="1"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4:28" ht="18" customHeight="1"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4:28" ht="18" customHeight="1"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4:28" ht="18" customHeight="1"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4:28" ht="18" customHeight="1"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4:28" ht="18" customHeight="1"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4:28" ht="18" customHeight="1"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4:28" ht="18" customHeight="1"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4:28" ht="18" customHeight="1"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4:28" ht="18" customHeight="1"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4:28" ht="18" customHeight="1"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4:28" ht="18" customHeight="1"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4:28" ht="18" customHeight="1"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4:28" ht="18" customHeight="1"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4:28" ht="18" customHeight="1"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4:28" ht="18" customHeight="1"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4:28" ht="18" customHeight="1"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4:28" ht="18" customHeight="1"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4:28" ht="18" customHeight="1"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4:28" ht="18" customHeight="1"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4:28" ht="18" customHeight="1"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4:28" ht="18" customHeight="1"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4:28" ht="18" customHeight="1"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4:28" ht="18" customHeight="1"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4:28" ht="18" customHeight="1"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4:28" ht="18" customHeight="1"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4:28" ht="18" customHeight="1"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4:28" ht="18" customHeight="1"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4:28" ht="18" customHeight="1"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4:28" ht="18" customHeight="1"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4:28" ht="18" customHeight="1"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4:28" ht="18" customHeight="1"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4:28" ht="18" customHeight="1"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4:28" ht="18" customHeight="1"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4:28" ht="18" customHeight="1"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4:28" ht="18" customHeight="1"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4:28" ht="18" customHeight="1"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4:28" ht="18" customHeight="1"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4:28" ht="18" customHeight="1"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4:28" ht="18" customHeight="1"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4:28" ht="18" customHeight="1"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4:28" ht="18" customHeight="1"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4:28" ht="18" customHeight="1"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4:28" ht="18" customHeight="1"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4:28" ht="18" customHeight="1"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4:28" ht="18" customHeight="1"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4:28" ht="18" customHeight="1"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4:28" ht="18" customHeight="1"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4:28" ht="18" customHeight="1"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4:28" ht="18" customHeight="1"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4:28" ht="18" customHeight="1"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4:28" ht="18" customHeight="1"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4:28" ht="18" customHeight="1"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4:28" ht="18" customHeight="1"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4:28" ht="18" customHeight="1"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4:28" ht="18" customHeight="1"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4:28" ht="18" customHeight="1"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4:28" ht="18" customHeight="1"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4:28" ht="18" customHeight="1"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4:28" ht="18" customHeight="1"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4:28" ht="18" customHeight="1"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4:28" ht="18" customHeight="1"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4:28" ht="18" customHeight="1"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4:28" ht="18" customHeight="1"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4:28" ht="18" customHeight="1"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4:28" ht="18" customHeight="1"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4:28" ht="18" customHeight="1"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4:28" ht="18" customHeight="1"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4:28" ht="18" customHeight="1"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4:28" ht="18" customHeight="1"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4:28" ht="18" customHeight="1"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4:28" ht="18" customHeight="1"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4:28" ht="18" customHeight="1"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4:28" ht="18" customHeight="1"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4:28" ht="18" customHeight="1"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4:28" ht="18" customHeight="1"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4:28" ht="18" customHeight="1"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4:28" ht="18" customHeight="1"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4:28" ht="18" customHeight="1"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4:28" ht="18" customHeight="1"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4:28" ht="18" customHeight="1"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4:28" ht="18" customHeight="1"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4:28" ht="18" customHeight="1"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4:28" ht="18" customHeight="1"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4:28" ht="18" customHeight="1"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4:28" ht="18" customHeight="1"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4:28" ht="18" customHeight="1"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4:28" ht="18" customHeight="1"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4:28" ht="18" customHeight="1"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4:28" ht="18" customHeight="1"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4:28" ht="18" customHeight="1"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4:28" ht="18" customHeight="1"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4:28" ht="18" customHeight="1"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4:28" ht="18" customHeight="1"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4:28" ht="18" customHeight="1"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4:28" ht="18" customHeight="1"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4:28" ht="18" customHeight="1"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4:28" ht="18" customHeight="1"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4:28" ht="18" customHeight="1"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4:28" ht="18" customHeight="1"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4:28" ht="18" customHeight="1"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4:28" ht="18" customHeight="1"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4:28" ht="18" customHeight="1"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4:28" ht="18" customHeight="1"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4:28" ht="18" customHeight="1"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4:28" ht="18" customHeight="1"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4:28" ht="18" customHeight="1"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4:28" ht="18" customHeight="1"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4:28" ht="18" customHeight="1"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4:28" ht="18" customHeight="1"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4:28" ht="18" customHeight="1"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4:28" ht="18" customHeight="1"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4:28" ht="18" customHeight="1"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4:28" ht="18" customHeight="1"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4:28" ht="18" customHeight="1"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4:28" ht="18" customHeight="1"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4:28" ht="18" customHeight="1"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4:28" ht="18" customHeight="1"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4:28" ht="18" customHeight="1"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4:28" ht="18" customHeight="1"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4:28" ht="18" customHeight="1"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4:28" ht="18" customHeight="1"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4:28" ht="18" customHeight="1"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4:28" ht="18" customHeight="1"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4:28" ht="18" customHeight="1"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4:28" ht="18" customHeight="1"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4:28" ht="18" customHeight="1"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4:28" ht="18" customHeight="1"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4:28" ht="18" customHeight="1"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4:28" ht="18" customHeight="1"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4:28" ht="18" customHeight="1"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4:28" ht="18" customHeight="1"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4:28" ht="18" customHeight="1"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4:28" ht="18" customHeight="1"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4:28" ht="18" customHeight="1"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4:28" ht="18" customHeight="1"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4:28" ht="18" customHeight="1"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4:28" ht="18" customHeight="1"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4:28" ht="18" customHeight="1"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4:28" ht="18" customHeight="1"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4:28" ht="18" customHeight="1"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4:28" ht="18" customHeight="1"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4:28" ht="18" customHeight="1"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4:28" ht="18" customHeight="1"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4:28" ht="18" customHeight="1"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4:28" ht="18" customHeight="1"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4:28" ht="18" customHeight="1"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4:28" ht="18" customHeight="1"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4:28" ht="18" customHeight="1"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4:28" ht="18" customHeight="1"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4:28" ht="18" customHeight="1"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4:28" ht="18" customHeight="1"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4:28" ht="18" customHeight="1"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4:28" ht="18" customHeight="1"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4:28" ht="18" customHeight="1"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4:28" ht="18" customHeight="1"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4:28" ht="18" customHeight="1"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4:28" ht="18" customHeight="1"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4:28" ht="18" customHeight="1"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4:28" ht="18" customHeight="1"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4:28" ht="18" customHeight="1"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4:28" ht="18" customHeight="1"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4:28" ht="18" customHeight="1"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4:28" ht="18" customHeight="1"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4:28" ht="18" customHeight="1"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4:28" ht="18" customHeight="1"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4:28" ht="18" customHeight="1"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4:28" ht="18" customHeight="1"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4:28" ht="18" customHeight="1"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4:28" ht="18" customHeight="1"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4:28" ht="18" customHeight="1"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4:28" ht="18" customHeight="1"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4:28" ht="18" customHeight="1"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4:28" ht="18" customHeight="1"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4:28" ht="18" customHeight="1"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4:28" ht="18" customHeight="1"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4:28" ht="18" customHeight="1"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4:28" ht="18" customHeight="1"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4:28" ht="18" customHeight="1"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4:28" ht="18" customHeight="1"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4:28" ht="18" customHeight="1"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4:28" ht="18" customHeight="1"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4:28" ht="18" customHeight="1"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4:28" ht="18" customHeight="1"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4:28" ht="18" customHeight="1"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4:28" ht="18" customHeight="1"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4:28" ht="18" customHeight="1"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4:28" ht="18" customHeight="1"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4:28" ht="18" customHeight="1"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4:28" ht="18" customHeight="1"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4:28" ht="18" customHeight="1"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4:28" ht="18" customHeight="1"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4:28" ht="18" customHeight="1"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4:28" ht="18" customHeight="1"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4:28" ht="18" customHeight="1"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4:28" ht="18" customHeight="1"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4:28" ht="18" customHeight="1"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4:28" ht="18" customHeight="1"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4:28" ht="18" customHeight="1"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4:28" ht="18" customHeight="1"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4:28" ht="18" customHeight="1"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4:28" ht="18" customHeight="1"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4:28" ht="18" customHeight="1"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4:28" ht="18" customHeight="1"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4:28" ht="18" customHeight="1"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4:28" ht="18" customHeight="1"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4:28" ht="18" customHeight="1"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4:28" ht="18" customHeight="1"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4:28" ht="18" customHeight="1"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4:28" ht="18" customHeight="1"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4:28" ht="18" customHeight="1"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4:28" ht="18" customHeight="1"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4:28" ht="18" customHeight="1"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4:28" ht="18" customHeight="1"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4:28" ht="18" customHeight="1"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4:28" ht="18" customHeight="1"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4:28" ht="18" customHeight="1"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4:28" ht="18" customHeight="1"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4:28" ht="18" customHeight="1"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4:28" ht="18" customHeight="1"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4:28" ht="18" customHeight="1"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4:28" ht="18" customHeight="1"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4:28" ht="18" customHeight="1"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4:28" ht="18" customHeight="1"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4:28" ht="18" customHeight="1"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4:28" ht="18" customHeight="1"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4:28" ht="18" customHeight="1"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4:28" ht="18" customHeight="1"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4:28" ht="18" customHeight="1"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4:28" ht="18" customHeight="1"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4:28" ht="15" customHeight="1"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4:28" ht="15" customHeight="1"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4:27" ht="15" customHeight="1"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</sheetData>
  <sheetProtection algorithmName="SHA-512" hashValue="7TMTx3ZbYLVDzwfny0GR24rYdzNnItYYoghHsJ/L1QmsASBGnU/4q1EtcoCE43mpZ1Utilltg/SzFCbo+cB29g==" saltValue="Y3h+qZjV18W1M9GX6/et0Q==" spinCount="100000" sheet="1" objects="1" scenarios="1"/>
  <dataConsolidate function="varp"/>
  <mergeCells count="83">
    <mergeCell ref="X20:AB20"/>
    <mergeCell ref="H16:R16"/>
    <mergeCell ref="R20:V20"/>
    <mergeCell ref="H19:O19"/>
    <mergeCell ref="R19:W19"/>
    <mergeCell ref="S17:X17"/>
    <mergeCell ref="Y17:AB17"/>
    <mergeCell ref="H13:S13"/>
    <mergeCell ref="D16:F16"/>
    <mergeCell ref="AH12:AW12"/>
    <mergeCell ref="AF12:AG12"/>
    <mergeCell ref="M12:R12"/>
    <mergeCell ref="X13:AB13"/>
    <mergeCell ref="H15:R15"/>
    <mergeCell ref="H12:L12"/>
    <mergeCell ref="Y15:AB15"/>
    <mergeCell ref="S15:X15"/>
    <mergeCell ref="H14:I14"/>
    <mergeCell ref="T14:U14"/>
    <mergeCell ref="D13:F13"/>
    <mergeCell ref="T13:W13"/>
    <mergeCell ref="S12:AB12"/>
    <mergeCell ref="D12:G12"/>
    <mergeCell ref="B37:B43"/>
    <mergeCell ref="K34:AB34"/>
    <mergeCell ref="K35:AB35"/>
    <mergeCell ref="D21:F21"/>
    <mergeCell ref="D25:AB27"/>
    <mergeCell ref="H21:O21"/>
    <mergeCell ref="B33:B35"/>
    <mergeCell ref="D30:AB32"/>
    <mergeCell ref="D39:H39"/>
    <mergeCell ref="K38:R38"/>
    <mergeCell ref="K39:R39"/>
    <mergeCell ref="T38:AB38"/>
    <mergeCell ref="T39:AB39"/>
    <mergeCell ref="D38:H38"/>
    <mergeCell ref="D34:H34"/>
    <mergeCell ref="Y1:Z2"/>
    <mergeCell ref="Y3:Z3"/>
    <mergeCell ref="AA1:AB2"/>
    <mergeCell ref="U50:V51"/>
    <mergeCell ref="Y6:Z7"/>
    <mergeCell ref="AA6:AB7"/>
    <mergeCell ref="B45:AB47"/>
    <mergeCell ref="T43:AB43"/>
    <mergeCell ref="B18:B21"/>
    <mergeCell ref="B28:B32"/>
    <mergeCell ref="B22:B27"/>
    <mergeCell ref="X19:AB19"/>
    <mergeCell ref="H20:O20"/>
    <mergeCell ref="D28:AB29"/>
    <mergeCell ref="D23:AB24"/>
    <mergeCell ref="D20:F20"/>
    <mergeCell ref="R10:S10"/>
    <mergeCell ref="T10:AB10"/>
    <mergeCell ref="N11:Z11"/>
    <mergeCell ref="K11:M11"/>
    <mergeCell ref="D10:G10"/>
    <mergeCell ref="D19:F19"/>
    <mergeCell ref="D15:F15"/>
    <mergeCell ref="D14:F14"/>
    <mergeCell ref="S16:X16"/>
    <mergeCell ref="Y16:AB16"/>
    <mergeCell ref="V14:AB14"/>
    <mergeCell ref="K14:N14"/>
    <mergeCell ref="O14:S14"/>
    <mergeCell ref="B8:B16"/>
    <mergeCell ref="K6:X6"/>
    <mergeCell ref="K7:X7"/>
    <mergeCell ref="AA3:AB3"/>
    <mergeCell ref="Y4:Z5"/>
    <mergeCell ref="AA4:AB5"/>
    <mergeCell ref="B1:J7"/>
    <mergeCell ref="K1:X3"/>
    <mergeCell ref="K4:X4"/>
    <mergeCell ref="K5:X5"/>
    <mergeCell ref="D11:G11"/>
    <mergeCell ref="H11:J11"/>
    <mergeCell ref="D8:G8"/>
    <mergeCell ref="H8:L8"/>
    <mergeCell ref="D9:AB9"/>
    <mergeCell ref="H10:P10"/>
  </mergeCells>
  <dataValidations xWindow="440" yWindow="529" count="17">
    <dataValidation type="list" allowBlank="1" showInputMessage="1" showErrorMessage="1" prompt="Seleccione de la lista desplegable..." sqref="H15" xr:uid="{F753C426-F760-4529-A486-AE8234229D35}">
      <formula1>C_OFICINA</formula1>
    </dataValidation>
    <dataValidation type="textLength" operator="equal" allowBlank="1" showInputMessage="1" showErrorMessage="1" prompt="6 digitos" sqref="H11:J11" xr:uid="{24D7467C-7E31-4767-9D75-3736046513C4}">
      <formula1>6</formula1>
    </dataValidation>
    <dataValidation type="list" allowBlank="1" showInputMessage="1" showErrorMessage="1" sqref="G19" xr:uid="{B7971FF5-5464-4471-B3E4-27205F248DB2}">
      <formula1>"ALTA, BAJA, CAMBIO"</formula1>
    </dataValidation>
    <dataValidation type="list" allowBlank="1" showInputMessage="1" showErrorMessage="1" prompt="Seleccione de la lista desplegable..." sqref="X19:AB19" xr:uid="{1624F4A8-6DE4-4FE7-9112-CEB99DFE352F}">
      <formula1>"Estructura, Interinato, Guardias y Suplencias, Honorarios"</formula1>
    </dataValidation>
    <dataValidation type="textLength" allowBlank="1" showInputMessage="1" showErrorMessage="1" prompt="DD/MM/AAAA" sqref="H8:L8" xr:uid="{B5F8EA08-226A-4070-B156-161C37D9DD89}">
      <formula1>1</formula1>
      <formula2>10</formula2>
    </dataValidation>
    <dataValidation type="list" allowBlank="1" showInputMessage="1" showErrorMessage="1" prompt="Seleccione de la lista desplegable..." sqref="H19:O19" xr:uid="{9C604C39-2709-48A0-9356-2C4DD0F0A747}">
      <formula1>"ALTA, BAJA, CAMBIO"</formula1>
    </dataValidation>
    <dataValidation type="list" allowBlank="1" showInputMessage="1" showErrorMessage="1" prompt="Seleccione de la lista desplegable..." sqref="H20:O20" xr:uid="{293273D4-E7AF-4116-A73E-3F52B52DDA3E}">
      <formula1>Servicios</formula1>
    </dataValidation>
    <dataValidation type="list" allowBlank="1" showInputMessage="1" showErrorMessage="1" prompt="Seleccione de la lista desplegable..." sqref="H21:O21" xr:uid="{B8E3D3B3-C233-4A51-AD91-828710C60835}">
      <formula1>INDIRECT(H$20)</formula1>
    </dataValidation>
    <dataValidation type="list" allowBlank="1" showErrorMessage="1" sqref="H12" xr:uid="{C872A9A8-6011-482E-92F0-221CA634A0D8}">
      <formula1>C_ENTIDADF</formula1>
    </dataValidation>
    <dataValidation operator="equal" allowBlank="1" showErrorMessage="1" sqref="H14 J14" xr:uid="{1A45452A-8697-4466-9A0A-11B9160CEAC5}"/>
    <dataValidation operator="equal" allowBlank="1" showInputMessage="1" showErrorMessage="1" sqref="AC15 Y15" xr:uid="{31DBA66C-4848-4F80-B233-06C3E4553245}"/>
    <dataValidation operator="equal" allowBlank="1" showErrorMessage="1" prompt="18 digitos" sqref="X20:AB20" xr:uid="{E56A68B8-AF6C-4293-B9AD-9FA08C4513AC}"/>
    <dataValidation type="textLength" operator="equal" allowBlank="1" showInputMessage="1" showErrorMessage="1" prompt="5 digitos" sqref="AB11" xr:uid="{85A9AA17-584F-410F-AE8B-6659EA5B0632}">
      <formula1>5</formula1>
    </dataValidation>
    <dataValidation type="list" allowBlank="1" showInputMessage="1" showErrorMessage="1" sqref="S12:AB12" xr:uid="{CED8123B-C21E-4152-964C-812074FA570C}">
      <formula1>C_CENTROT</formula1>
    </dataValidation>
    <dataValidation type="textLength" allowBlank="1" showInputMessage="1" showErrorMessage="1" prompt="Longitud maxima 15 caracteres_x000a_" sqref="Y16:AB16" xr:uid="{93C87688-A03B-4B61-AFD5-0A3B0385BB9E}">
      <formula1>9</formula1>
      <formula2>15</formula2>
    </dataValidation>
    <dataValidation type="textLength" operator="equal" allowBlank="1" showInputMessage="1" showErrorMessage="1" error="Debe ser igual a 15 caracteres" prompt="Longitud 15 caracteres" sqref="Y17:AB17" xr:uid="{41B98E3E-AA7C-4876-9D08-D454D4EBE6DE}">
      <formula1>15</formula1>
    </dataValidation>
    <dataValidation allowBlank="1" showInputMessage="1" showErrorMessage="1" prompt="Escribe el nombre completo" sqref="D39:H39 K39:R39 T39:AB39" xr:uid="{EE1D59A0-1057-4724-A1F4-9012DDD05D7A}"/>
  </dataValidations>
  <printOptions horizontalCentered="1" verticalCentered="1"/>
  <pageMargins left="0.31496062992125984" right="0.31496062992125984" top="0.35433070866141736" bottom="0.15748031496062992" header="0" footer="0"/>
  <pageSetup scale="8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440" yWindow="529" count="3">
        <x14:dataValidation type="list" allowBlank="1" showInputMessage="1" showErrorMessage="1" xr:uid="{56D04480-5B33-49C7-99A6-924EA3E91AEB}">
          <x14:formula1>
            <xm:f>Aux!$B$2:$B$18</xm:f>
          </x14:formula1>
          <xm:sqref>K35:AB35</xm:sqref>
        </x14:dataValidation>
        <x14:dataValidation type="list" allowBlank="1" showInputMessage="1" showErrorMessage="1" xr:uid="{5A54A9F2-F3A6-4B84-9350-E443B5577372}">
          <x14:formula1>
            <xm:f>Aux!$C$2:$C$443</xm:f>
          </x14:formula1>
          <xm:sqref>N11:Z11</xm:sqref>
        </x14:dataValidation>
        <x14:dataValidation type="list" allowBlank="1" showInputMessage="1" showErrorMessage="1" xr:uid="{FC582A8D-336C-4264-889F-C1BE305EB13B}">
          <x14:formula1>
            <xm:f>Aux!$D$2:$D$69</xm:f>
          </x14:formula1>
          <xm:sqref>H16:R16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935F-F3DF-4D40-9ECA-8041FF76613F}">
  <sheetPr>
    <pageSetUpPr fitToPage="1"/>
  </sheetPr>
  <dimension ref="A1:AW993"/>
  <sheetViews>
    <sheetView showGridLines="0" tabSelected="1" topLeftCell="A20" zoomScaleNormal="100" zoomScaleSheetLayoutView="120" workbookViewId="0">
      <selection activeCell="H21" sqref="H21:O21"/>
    </sheetView>
  </sheetViews>
  <sheetFormatPr baseColWidth="10" defaultColWidth="12.59765625" defaultRowHeight="15" customHeight="1"/>
  <cols>
    <col min="1" max="1" width="0.69921875" style="3" customWidth="1" collapsed="1"/>
    <col min="2" max="2" width="5.09765625" style="3" customWidth="1" collapsed="1"/>
    <col min="3" max="3" width="1.3984375" style="3" customWidth="1" collapsed="1"/>
    <col min="4" max="4" width="3.59765625" style="3" customWidth="1" collapsed="1"/>
    <col min="5" max="5" width="5.19921875" style="3" customWidth="1" collapsed="1"/>
    <col min="6" max="6" width="11" style="3" customWidth="1"/>
    <col min="7" max="7" width="1.19921875" style="3" customWidth="1" collapsed="1"/>
    <col min="8" max="8" width="4" style="3" customWidth="1" collapsed="1"/>
    <col min="9" max="9" width="2.8984375" style="3" customWidth="1"/>
    <col min="10" max="10" width="2.59765625" style="3" customWidth="1" collapsed="1"/>
    <col min="11" max="11" width="5.5" style="3" customWidth="1" collapsed="1"/>
    <col min="12" max="12" width="3.09765625" style="3" customWidth="1" collapsed="1"/>
    <col min="13" max="13" width="2.69921875" style="3" customWidth="1" collapsed="1"/>
    <col min="14" max="14" width="4.09765625" style="3" customWidth="1" collapsed="1"/>
    <col min="15" max="15" width="2.59765625" style="3" customWidth="1"/>
    <col min="16" max="16" width="1.59765625" style="3" customWidth="1"/>
    <col min="17" max="17" width="1.59765625" style="3" customWidth="1" collapsed="1"/>
    <col min="18" max="19" width="5.19921875" style="3" customWidth="1" collapsed="1"/>
    <col min="20" max="20" width="2.59765625" style="3" customWidth="1"/>
    <col min="21" max="21" width="2.59765625" style="3" customWidth="1" collapsed="1"/>
    <col min="22" max="22" width="2.59765625" style="3" customWidth="1"/>
    <col min="23" max="23" width="2.09765625" style="3" customWidth="1"/>
    <col min="24" max="24" width="5.19921875" style="3" customWidth="1" collapsed="1"/>
    <col min="25" max="26" width="5" style="3" customWidth="1" collapsed="1"/>
    <col min="27" max="27" width="5" style="3" customWidth="1"/>
    <col min="28" max="28" width="4.3984375" style="3" customWidth="1" collapsed="1"/>
    <col min="29" max="40" width="12.59765625" style="3"/>
    <col min="41" max="16384" width="12.59765625" style="3" collapsed="1"/>
  </cols>
  <sheetData>
    <row r="1" spans="2:49" ht="12" customHeight="1">
      <c r="B1" s="96"/>
      <c r="C1" s="97"/>
      <c r="D1" s="97"/>
      <c r="E1" s="97"/>
      <c r="F1" s="97"/>
      <c r="G1" s="97"/>
      <c r="H1" s="97"/>
      <c r="I1" s="97"/>
      <c r="J1" s="98"/>
      <c r="K1" s="105" t="s">
        <v>10463</v>
      </c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7"/>
      <c r="Y1" s="114" t="s">
        <v>0</v>
      </c>
      <c r="Z1" s="115"/>
      <c r="AA1" s="114" t="s">
        <v>1</v>
      </c>
      <c r="AB1" s="115"/>
    </row>
    <row r="2" spans="2:49" ht="5.25" customHeight="1">
      <c r="B2" s="99"/>
      <c r="C2" s="100"/>
      <c r="D2" s="100"/>
      <c r="E2" s="100"/>
      <c r="F2" s="100"/>
      <c r="G2" s="100"/>
      <c r="H2" s="100"/>
      <c r="I2" s="100"/>
      <c r="J2" s="101"/>
      <c r="K2" s="108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10"/>
      <c r="Y2" s="116"/>
      <c r="Z2" s="117"/>
      <c r="AA2" s="116"/>
      <c r="AB2" s="117"/>
    </row>
    <row r="3" spans="2:49" ht="16.5" customHeight="1">
      <c r="B3" s="99"/>
      <c r="C3" s="100"/>
      <c r="D3" s="100"/>
      <c r="E3" s="100"/>
      <c r="F3" s="100"/>
      <c r="G3" s="100"/>
      <c r="H3" s="100"/>
      <c r="I3" s="100"/>
      <c r="J3" s="101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  <c r="Y3" s="114" t="s">
        <v>2</v>
      </c>
      <c r="Z3" s="115"/>
      <c r="AA3" s="114" t="s">
        <v>3</v>
      </c>
      <c r="AB3" s="115"/>
    </row>
    <row r="4" spans="2:49" ht="17.25" customHeight="1">
      <c r="B4" s="99"/>
      <c r="C4" s="100"/>
      <c r="D4" s="100"/>
      <c r="E4" s="100"/>
      <c r="F4" s="100"/>
      <c r="G4" s="100"/>
      <c r="H4" s="100"/>
      <c r="I4" s="100"/>
      <c r="J4" s="101"/>
      <c r="K4" s="130" t="s">
        <v>5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 t="s">
        <v>4</v>
      </c>
      <c r="Z4" s="131"/>
      <c r="AA4" s="132" t="s">
        <v>10465</v>
      </c>
      <c r="AB4" s="132"/>
    </row>
    <row r="5" spans="2:49" ht="14.25" customHeight="1">
      <c r="B5" s="99"/>
      <c r="C5" s="100"/>
      <c r="D5" s="100"/>
      <c r="E5" s="100"/>
      <c r="F5" s="100"/>
      <c r="G5" s="100"/>
      <c r="H5" s="100"/>
      <c r="I5" s="100"/>
      <c r="J5" s="101"/>
      <c r="K5" s="133" t="s">
        <v>10464</v>
      </c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1"/>
      <c r="Z5" s="131"/>
      <c r="AA5" s="132"/>
      <c r="AB5" s="132"/>
    </row>
    <row r="6" spans="2:49" ht="17.399999999999999" customHeight="1">
      <c r="B6" s="99"/>
      <c r="C6" s="100"/>
      <c r="D6" s="100"/>
      <c r="E6" s="100"/>
      <c r="F6" s="100"/>
      <c r="G6" s="100"/>
      <c r="H6" s="100"/>
      <c r="I6" s="100"/>
      <c r="J6" s="101"/>
      <c r="K6" s="134" t="s">
        <v>10467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6"/>
      <c r="Y6" s="131" t="s">
        <v>6</v>
      </c>
      <c r="Z6" s="131"/>
      <c r="AA6" s="137">
        <v>45827</v>
      </c>
      <c r="AB6" s="131"/>
    </row>
    <row r="7" spans="2:49" ht="17.399999999999999" customHeight="1">
      <c r="B7" s="102"/>
      <c r="C7" s="103"/>
      <c r="D7" s="103"/>
      <c r="E7" s="103"/>
      <c r="F7" s="103"/>
      <c r="G7" s="103"/>
      <c r="H7" s="103"/>
      <c r="I7" s="103"/>
      <c r="J7" s="104"/>
      <c r="K7" s="138" t="s">
        <v>10466</v>
      </c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40"/>
      <c r="Y7" s="131"/>
      <c r="Z7" s="131"/>
      <c r="AA7" s="131"/>
      <c r="AB7" s="131"/>
    </row>
    <row r="8" spans="2:49" ht="26.25" customHeight="1">
      <c r="B8" s="118" t="s">
        <v>7</v>
      </c>
      <c r="C8" s="34"/>
      <c r="D8" s="120" t="s">
        <v>8</v>
      </c>
      <c r="E8" s="120"/>
      <c r="F8" s="120"/>
      <c r="G8" s="121"/>
      <c r="H8" s="122">
        <v>46231</v>
      </c>
      <c r="I8" s="122"/>
      <c r="J8" s="122"/>
      <c r="K8" s="122"/>
      <c r="L8" s="122"/>
      <c r="M8" s="31"/>
      <c r="N8" s="31"/>
      <c r="O8" s="31"/>
      <c r="P8" s="31"/>
      <c r="Q8" s="31"/>
      <c r="R8" s="31"/>
      <c r="S8" s="32"/>
      <c r="T8" s="32"/>
      <c r="U8" s="32"/>
      <c r="V8" s="33"/>
      <c r="W8" s="33"/>
      <c r="X8" s="31"/>
      <c r="Y8" s="31"/>
      <c r="Z8" s="31"/>
      <c r="AA8" s="31"/>
      <c r="AB8" s="31"/>
    </row>
    <row r="9" spans="2:49" ht="94.5" customHeight="1">
      <c r="B9" s="119"/>
      <c r="C9" s="34"/>
      <c r="D9" s="123" t="s">
        <v>9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</row>
    <row r="10" spans="2:49" ht="24.9" customHeight="1">
      <c r="B10" s="119"/>
      <c r="C10" s="34"/>
      <c r="D10" s="67" t="s">
        <v>10</v>
      </c>
      <c r="E10" s="67"/>
      <c r="F10" s="67"/>
      <c r="G10" s="67"/>
      <c r="H10" s="77"/>
      <c r="I10" s="77"/>
      <c r="J10" s="77"/>
      <c r="K10" s="77"/>
      <c r="L10" s="77"/>
      <c r="M10" s="77"/>
      <c r="N10" s="77"/>
      <c r="O10" s="77"/>
      <c r="P10" s="77"/>
      <c r="Q10" s="36"/>
      <c r="R10" s="67" t="s">
        <v>11</v>
      </c>
      <c r="S10" s="67"/>
      <c r="T10" s="77"/>
      <c r="U10" s="77"/>
      <c r="V10" s="77"/>
      <c r="W10" s="77"/>
      <c r="X10" s="77"/>
      <c r="Y10" s="77"/>
      <c r="Z10" s="77"/>
      <c r="AA10" s="77"/>
      <c r="AB10" s="77"/>
      <c r="AD10" s="6"/>
    </row>
    <row r="11" spans="2:49" ht="24.9" customHeight="1">
      <c r="B11" s="119"/>
      <c r="C11" s="34"/>
      <c r="D11" s="67" t="s">
        <v>12</v>
      </c>
      <c r="E11" s="67"/>
      <c r="F11" s="67"/>
      <c r="G11" s="67"/>
      <c r="H11" s="90"/>
      <c r="I11" s="90"/>
      <c r="J11" s="90"/>
      <c r="K11" s="91" t="s">
        <v>13</v>
      </c>
      <c r="L11" s="91"/>
      <c r="M11" s="91"/>
      <c r="N11" s="92" t="s">
        <v>9577</v>
      </c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37" t="s">
        <v>14</v>
      </c>
      <c r="AB11" s="55"/>
    </row>
    <row r="12" spans="2:49" ht="24.9" customHeight="1">
      <c r="B12" s="119"/>
      <c r="C12" s="34"/>
      <c r="D12" s="67" t="s">
        <v>15</v>
      </c>
      <c r="E12" s="67"/>
      <c r="F12" s="67"/>
      <c r="G12" s="67"/>
      <c r="H12" s="82" t="s">
        <v>616</v>
      </c>
      <c r="I12" s="82"/>
      <c r="J12" s="82"/>
      <c r="K12" s="82"/>
      <c r="L12" s="82"/>
      <c r="M12" s="78" t="s">
        <v>16</v>
      </c>
      <c r="N12" s="78"/>
      <c r="O12" s="78"/>
      <c r="P12" s="78"/>
      <c r="Q12" s="78"/>
      <c r="R12" s="78"/>
      <c r="S12" s="93" t="s">
        <v>1870</v>
      </c>
      <c r="T12" s="93"/>
      <c r="U12" s="93"/>
      <c r="V12" s="93"/>
      <c r="W12" s="93"/>
      <c r="X12" s="93"/>
      <c r="Y12" s="93"/>
      <c r="Z12" s="93"/>
      <c r="AA12" s="93"/>
      <c r="AB12" s="93"/>
      <c r="AF12" s="94"/>
      <c r="AG12" s="9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</row>
    <row r="13" spans="2:49" ht="36" customHeight="1">
      <c r="B13" s="119"/>
      <c r="C13" s="34"/>
      <c r="D13" s="81" t="s">
        <v>17</v>
      </c>
      <c r="E13" s="81"/>
      <c r="F13" s="81"/>
      <c r="G13" s="38"/>
      <c r="H13" s="125" t="str">
        <f>IFERROR(VLOOKUP(CONCATENATE(H12,"-",S12),TDOMICILIOS,10,FALSE)," ")</f>
        <v>Fraternidad Esq. Jose Hernandez Col. Obrero Campesina</v>
      </c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6" t="s">
        <v>18</v>
      </c>
      <c r="U13" s="126"/>
      <c r="V13" s="126"/>
      <c r="W13" s="126"/>
      <c r="X13" s="127" t="str">
        <f>IFERROR(VLOOKUP(CONCATENATE(H12,"-",S12),TDOMICILIOS,11,FALSE)," ")</f>
        <v>Xalapa</v>
      </c>
      <c r="Y13" s="127"/>
      <c r="Z13" s="127"/>
      <c r="AA13" s="127"/>
      <c r="AB13" s="127"/>
    </row>
    <row r="14" spans="2:49" ht="24.9" customHeight="1">
      <c r="B14" s="119"/>
      <c r="C14" s="34"/>
      <c r="D14" s="81" t="s">
        <v>19</v>
      </c>
      <c r="E14" s="81"/>
      <c r="F14" s="81"/>
      <c r="G14" s="34"/>
      <c r="H14" s="88">
        <f>IFERROR(VLOOKUP(CONCATENATE(H12,"-",S12),TDOMICILIOS,12,FALSE)," ")</f>
        <v>91020</v>
      </c>
      <c r="I14" s="88"/>
      <c r="J14" s="7"/>
      <c r="K14" s="128" t="s">
        <v>20</v>
      </c>
      <c r="L14" s="128"/>
      <c r="M14" s="128"/>
      <c r="N14" s="128"/>
      <c r="O14" s="129" t="str">
        <f>IFERROR(VLOOKUP(CONCATENATE(H12,"-",S12),TDOMICILIOS,7,FALSE)," ")</f>
        <v>Unidad Medica</v>
      </c>
      <c r="P14" s="129"/>
      <c r="Q14" s="129"/>
      <c r="R14" s="129"/>
      <c r="S14" s="129"/>
      <c r="T14" s="78" t="s">
        <v>21</v>
      </c>
      <c r="U14" s="78"/>
      <c r="V14" s="88" t="str">
        <f>IFERROR(VLOOKUP(CONCATENATE(H12,"-",S12),TDOMICILIOS,3,FALSE),"")</f>
        <v>VZIST000120</v>
      </c>
      <c r="W14" s="88"/>
      <c r="X14" s="88"/>
      <c r="Y14" s="88"/>
      <c r="Z14" s="88"/>
      <c r="AA14" s="88"/>
      <c r="AB14" s="88"/>
      <c r="AC14" s="8"/>
    </row>
    <row r="15" spans="2:49" ht="24.9" customHeight="1">
      <c r="B15" s="119"/>
      <c r="C15" s="34"/>
      <c r="D15" s="67" t="s">
        <v>22</v>
      </c>
      <c r="E15" s="67"/>
      <c r="F15" s="67"/>
      <c r="G15" s="39"/>
      <c r="H15" s="86" t="s">
        <v>10354</v>
      </c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7" t="s">
        <v>23</v>
      </c>
      <c r="T15" s="87"/>
      <c r="U15" s="87"/>
      <c r="V15" s="87"/>
      <c r="W15" s="87"/>
      <c r="X15" s="87"/>
      <c r="Y15" s="88" t="str">
        <f>IFERROR(VLOOKUP(CONCATENATE(H12,"-",S12),TDOMICILIOS,4,FALSE)," ")</f>
        <v>030-204-00</v>
      </c>
      <c r="Z15" s="88"/>
      <c r="AA15" s="88"/>
      <c r="AB15" s="88"/>
      <c r="AC15" s="7"/>
    </row>
    <row r="16" spans="2:49" s="8" customFormat="1" ht="30" customHeight="1">
      <c r="B16" s="119"/>
      <c r="C16" s="39"/>
      <c r="D16" s="81" t="s">
        <v>24</v>
      </c>
      <c r="E16" s="81"/>
      <c r="F16" s="81"/>
      <c r="G16" s="34"/>
      <c r="H16" s="89" t="s">
        <v>4343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78" t="s">
        <v>25</v>
      </c>
      <c r="T16" s="78"/>
      <c r="U16" s="78"/>
      <c r="V16" s="78"/>
      <c r="W16" s="78"/>
      <c r="X16" s="78"/>
      <c r="Y16" s="90"/>
      <c r="Z16" s="90"/>
      <c r="AA16" s="90"/>
      <c r="AB16" s="90"/>
    </row>
    <row r="17" spans="2:29" s="8" customFormat="1" ht="24.9" customHeight="1">
      <c r="B17" s="52"/>
      <c r="C17" s="39"/>
      <c r="D17" s="51"/>
      <c r="E17" s="51"/>
      <c r="F17" s="51"/>
      <c r="G17" s="3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78" t="s">
        <v>26</v>
      </c>
      <c r="T17" s="78"/>
      <c r="U17" s="78"/>
      <c r="V17" s="78"/>
      <c r="W17" s="78"/>
      <c r="X17" s="78"/>
      <c r="Y17" s="79"/>
      <c r="Z17" s="79"/>
      <c r="AA17" s="79"/>
      <c r="AB17" s="79"/>
    </row>
    <row r="18" spans="2:29" ht="12.75" customHeight="1">
      <c r="B18" s="80" t="s">
        <v>27</v>
      </c>
      <c r="C18" s="34"/>
      <c r="D18" s="40"/>
      <c r="E18" s="38"/>
      <c r="F18" s="38"/>
      <c r="G18" s="3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2:29" ht="24.9" customHeight="1">
      <c r="B19" s="80"/>
      <c r="C19" s="34"/>
      <c r="D19" s="81" t="s">
        <v>28</v>
      </c>
      <c r="E19" s="81"/>
      <c r="F19" s="81"/>
      <c r="G19" s="39"/>
      <c r="H19" s="82" t="s">
        <v>29</v>
      </c>
      <c r="I19" s="82"/>
      <c r="J19" s="82"/>
      <c r="K19" s="82"/>
      <c r="L19" s="82"/>
      <c r="M19" s="82"/>
      <c r="N19" s="82"/>
      <c r="O19" s="82"/>
      <c r="P19" s="34"/>
      <c r="Q19" s="34"/>
      <c r="R19" s="83" t="s">
        <v>30</v>
      </c>
      <c r="S19" s="83"/>
      <c r="T19" s="83"/>
      <c r="U19" s="83"/>
      <c r="V19" s="83"/>
      <c r="W19" s="83"/>
      <c r="X19" s="82" t="s">
        <v>10519</v>
      </c>
      <c r="Y19" s="82"/>
      <c r="Z19" s="82"/>
      <c r="AA19" s="82"/>
      <c r="AB19" s="82"/>
      <c r="AC19" s="8"/>
    </row>
    <row r="20" spans="2:29" ht="24.9" customHeight="1">
      <c r="B20" s="80"/>
      <c r="C20" s="34"/>
      <c r="D20" s="67" t="s">
        <v>31</v>
      </c>
      <c r="E20" s="67"/>
      <c r="F20" s="67"/>
      <c r="G20" s="36"/>
      <c r="H20" s="84" t="s">
        <v>10415</v>
      </c>
      <c r="I20" s="84"/>
      <c r="J20" s="84"/>
      <c r="K20" s="84"/>
      <c r="L20" s="84"/>
      <c r="M20" s="84"/>
      <c r="N20" s="84"/>
      <c r="O20" s="84"/>
      <c r="P20" s="39"/>
      <c r="Q20" s="39"/>
      <c r="R20" s="67"/>
      <c r="S20" s="67"/>
      <c r="T20" s="67"/>
      <c r="U20" s="67"/>
      <c r="V20" s="67"/>
      <c r="W20" s="35"/>
      <c r="X20" s="85"/>
      <c r="Y20" s="85"/>
      <c r="Z20" s="85"/>
      <c r="AA20" s="85"/>
      <c r="AB20" s="85"/>
      <c r="AC20" s="8"/>
    </row>
    <row r="21" spans="2:29" ht="24.9" customHeight="1">
      <c r="B21" s="80"/>
      <c r="C21" s="34"/>
      <c r="D21" s="67" t="s">
        <v>32</v>
      </c>
      <c r="E21" s="67"/>
      <c r="F21" s="67"/>
      <c r="G21" s="35"/>
      <c r="H21" s="84" t="s">
        <v>10416</v>
      </c>
      <c r="I21" s="84"/>
      <c r="J21" s="84"/>
      <c r="K21" s="84"/>
      <c r="L21" s="84"/>
      <c r="M21" s="84"/>
      <c r="N21" s="84"/>
      <c r="O21" s="84"/>
      <c r="P21" s="34"/>
      <c r="Q21" s="34"/>
      <c r="R21" s="41"/>
      <c r="S21" s="41"/>
      <c r="T21" s="41"/>
      <c r="U21" s="41"/>
      <c r="V21" s="41"/>
      <c r="W21" s="41"/>
      <c r="X21" s="42"/>
      <c r="Y21" s="42"/>
      <c r="Z21" s="42"/>
      <c r="AA21" s="42"/>
      <c r="AB21" s="42"/>
    </row>
    <row r="22" spans="2:29" ht="3.75" customHeight="1">
      <c r="B22" s="71" t="s">
        <v>33</v>
      </c>
      <c r="C22" s="34"/>
      <c r="D22" s="40"/>
      <c r="E22" s="36"/>
      <c r="F22" s="36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2:29" ht="18" customHeight="1">
      <c r="B23" s="71"/>
      <c r="C23" s="39"/>
      <c r="D23" s="72" t="str">
        <f>IFERROR(VLOOKUP((H19&amp;" - "&amp;H20&amp;" - "&amp;H21),Comentarios!A:D,4,0),"")</f>
        <v>Si el tipo de solicitud es una alta de usuario y/o cuenta de correo electrónico de nuevo ingreso, previamente debe levantar el ticket de la baja del servidor publico que deja el cargo e indicar el usuario y No. de ticket.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</row>
    <row r="24" spans="2:29" ht="18.75" customHeight="1">
      <c r="B24" s="71"/>
      <c r="C24" s="34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</row>
    <row r="25" spans="2:29" ht="18" customHeight="1">
      <c r="B25" s="71"/>
      <c r="C25" s="34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</row>
    <row r="26" spans="2:29" ht="18" customHeight="1">
      <c r="B26" s="71"/>
      <c r="C26" s="34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</row>
    <row r="27" spans="2:29" ht="18" customHeight="1">
      <c r="B27" s="71"/>
      <c r="C27" s="3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2:29" ht="18" customHeight="1">
      <c r="B28" s="75" t="s">
        <v>34</v>
      </c>
      <c r="C28" s="34"/>
      <c r="D28" s="72" t="str">
        <f>IFERROR(VLOOKUP((H19&amp;" - "&amp;H20&amp;" - "&amp;H21),Comentarios!A:E,5,0),"")</f>
        <v>En caso de solicitar un alta de usuario y/o de cuenta de correo electrónico para personal operativo, favor de indicar el detalle de las funciones del usuario que lo justifique.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</row>
    <row r="29" spans="2:29" ht="18" customHeight="1">
      <c r="B29" s="75"/>
      <c r="C29" s="34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</row>
    <row r="30" spans="2:29" ht="18" customHeight="1">
      <c r="B30" s="75"/>
      <c r="C30" s="34"/>
      <c r="D30" s="76" t="s">
        <v>10529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</row>
    <row r="31" spans="2:29" ht="18" customHeight="1">
      <c r="B31" s="75"/>
      <c r="C31" s="34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</row>
    <row r="32" spans="2:29" ht="18" customHeight="1">
      <c r="B32" s="75"/>
      <c r="C32" s="34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spans="1:29" ht="6.75" customHeight="1">
      <c r="B33" s="66" t="s">
        <v>35</v>
      </c>
      <c r="C33" s="40"/>
      <c r="D33" s="38"/>
      <c r="E33" s="38"/>
      <c r="F33" s="3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43"/>
    </row>
    <row r="34" spans="1:29" ht="24.9" customHeight="1">
      <c r="B34" s="66"/>
      <c r="C34" s="34"/>
      <c r="D34" s="67" t="s">
        <v>36</v>
      </c>
      <c r="E34" s="67"/>
      <c r="F34" s="67"/>
      <c r="G34" s="67"/>
      <c r="H34" s="67"/>
      <c r="I34" s="35"/>
      <c r="J34" s="35"/>
      <c r="K34" s="68" t="s">
        <v>10528</v>
      </c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8"/>
    </row>
    <row r="35" spans="1:29" s="8" customFormat="1" ht="24.9" customHeight="1">
      <c r="A35" s="3"/>
      <c r="B35" s="66"/>
      <c r="C35" s="34"/>
      <c r="D35" s="36" t="s">
        <v>37</v>
      </c>
      <c r="E35" s="36"/>
      <c r="F35" s="36"/>
      <c r="G35" s="36"/>
      <c r="H35" s="34"/>
      <c r="I35" s="39"/>
      <c r="J35" s="39"/>
      <c r="K35" s="69" t="s">
        <v>8878</v>
      </c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 spans="1:29" ht="0.75" customHeight="1">
      <c r="B36" s="30"/>
      <c r="C36" s="3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37"/>
    </row>
    <row r="37" spans="1:29" ht="20.25" customHeight="1">
      <c r="B37" s="60" t="s">
        <v>38</v>
      </c>
      <c r="C37" s="3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37"/>
    </row>
    <row r="38" spans="1:29" ht="20.100000000000001" customHeight="1">
      <c r="B38" s="60"/>
      <c r="C38" s="34"/>
      <c r="D38" s="61" t="str">
        <f>IFERROR(VLOOKUP((H19&amp;" - "&amp;H20&amp;" - "&amp;H21),Comentarios!A:F,6,0),"")</f>
        <v>USUARIO</v>
      </c>
      <c r="E38" s="61"/>
      <c r="F38" s="61"/>
      <c r="G38" s="61"/>
      <c r="H38" s="61"/>
      <c r="I38" s="44"/>
      <c r="J38" s="44"/>
      <c r="K38" s="62" t="str">
        <f>IFERROR(VLOOKUP((H19&amp;" - "&amp;H20&amp;" - "&amp;H21),Comentarios!A:G,7,0),"")</f>
        <v>ENLACE INFORMATICO</v>
      </c>
      <c r="L38" s="62"/>
      <c r="M38" s="62"/>
      <c r="N38" s="62"/>
      <c r="O38" s="62"/>
      <c r="P38" s="62"/>
      <c r="Q38" s="62"/>
      <c r="R38" s="62"/>
      <c r="S38" s="44"/>
      <c r="T38" s="62" t="str">
        <f>IFERROR(VLOOKUP((H19&amp;" - "&amp;H20&amp;" - "&amp;H21),Comentarios!A:H,8,0),"")</f>
        <v>JEFE DE SERVICIOS O SUPERIOR</v>
      </c>
      <c r="U38" s="62"/>
      <c r="V38" s="62"/>
      <c r="W38" s="62"/>
      <c r="X38" s="62"/>
      <c r="Y38" s="62"/>
      <c r="Z38" s="62"/>
      <c r="AA38" s="62"/>
      <c r="AB38" s="62"/>
    </row>
    <row r="39" spans="1:29" ht="20.100000000000001" customHeight="1">
      <c r="B39" s="60"/>
      <c r="C39" s="34"/>
      <c r="D39" s="63" t="str">
        <f>CONCATENATE(H10," ",T10)</f>
        <v xml:space="preserve"> </v>
      </c>
      <c r="E39" s="63"/>
      <c r="F39" s="63"/>
      <c r="G39" s="63"/>
      <c r="H39" s="63"/>
      <c r="I39" s="44"/>
      <c r="J39" s="44"/>
      <c r="K39" s="64" t="s">
        <v>10521</v>
      </c>
      <c r="L39" s="64"/>
      <c r="M39" s="64"/>
      <c r="N39" s="64"/>
      <c r="O39" s="64"/>
      <c r="P39" s="64"/>
      <c r="Q39" s="64"/>
      <c r="R39" s="64"/>
      <c r="S39" s="44"/>
      <c r="T39" s="64" t="s">
        <v>10528</v>
      </c>
      <c r="U39" s="64"/>
      <c r="V39" s="64"/>
      <c r="W39" s="64"/>
      <c r="X39" s="64"/>
      <c r="Y39" s="64"/>
      <c r="Z39" s="64"/>
      <c r="AA39" s="64"/>
      <c r="AB39" s="64"/>
    </row>
    <row r="40" spans="1:29" ht="12.75" customHeight="1">
      <c r="B40" s="60"/>
      <c r="C40" s="34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45"/>
    </row>
    <row r="41" spans="1:29" ht="12.75" customHeight="1">
      <c r="B41" s="60"/>
      <c r="C41" s="3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45"/>
    </row>
    <row r="42" spans="1:29" ht="12.75" customHeight="1">
      <c r="B42" s="60"/>
      <c r="C42" s="34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46"/>
    </row>
    <row r="43" spans="1:29" ht="12.75" customHeight="1">
      <c r="B43" s="60"/>
      <c r="C43" s="34"/>
      <c r="D43" s="47"/>
      <c r="E43" s="47"/>
      <c r="F43" s="47"/>
      <c r="G43" s="47"/>
      <c r="H43" s="47"/>
      <c r="I43" s="37"/>
      <c r="J43" s="37"/>
      <c r="K43" s="47"/>
      <c r="L43" s="47"/>
      <c r="M43" s="47"/>
      <c r="N43" s="47"/>
      <c r="O43" s="47"/>
      <c r="P43" s="47"/>
      <c r="Q43" s="47"/>
      <c r="R43" s="47"/>
      <c r="S43" s="37"/>
      <c r="T43" s="65"/>
      <c r="U43" s="65"/>
      <c r="V43" s="65"/>
      <c r="W43" s="65"/>
      <c r="X43" s="65"/>
      <c r="Y43" s="65"/>
      <c r="Z43" s="65"/>
      <c r="AA43" s="65"/>
      <c r="AB43" s="65"/>
    </row>
    <row r="44" spans="1:29" ht="9.75" customHeight="1"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</row>
    <row r="45" spans="1:29" ht="9.75" customHeight="1">
      <c r="B45" s="70" t="str">
        <f>IFERROR(VLOOKUP((H19&amp;" - "&amp;H20&amp;" - "&amp;H21),Comentarios!A:I,9,0),"")</f>
        <v>El presente documento es una responsiva mediante la cual el usuario acepta las Políticas de uso del servicio solicitado,  publicadas en la Intranet del Instituto en el siguiente link: https://www.issste.gob.mx/intranet/direccionnormativa/adminitracionyfinanzas/sudireccion/masinfo/acuerdotic.html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1:29" ht="18" customHeight="1"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1:29" ht="33.75" customHeight="1"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1:29" ht="18" customHeight="1">
      <c r="D48" s="10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5"/>
      <c r="V48" s="5"/>
      <c r="W48" s="5"/>
      <c r="X48" s="5"/>
      <c r="Y48" s="5"/>
      <c r="Z48" s="10"/>
      <c r="AA48" s="10"/>
      <c r="AB48" s="10"/>
    </row>
    <row r="49" spans="4:28" ht="18" customHeight="1"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5"/>
      <c r="V49" s="5"/>
      <c r="W49" s="5"/>
      <c r="X49" s="5"/>
      <c r="Y49" s="5"/>
      <c r="Z49" s="10"/>
      <c r="AA49" s="10"/>
      <c r="AB49" s="10"/>
    </row>
    <row r="50" spans="4:28" ht="18" customHeight="1"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58"/>
      <c r="V50" s="59"/>
      <c r="W50" s="5"/>
      <c r="X50" s="5"/>
      <c r="Y50" s="5"/>
      <c r="Z50" s="10"/>
      <c r="AA50" s="10"/>
      <c r="AB50" s="10"/>
    </row>
    <row r="51" spans="4:28" ht="18" customHeight="1"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59"/>
      <c r="V51" s="59"/>
      <c r="W51" s="5"/>
      <c r="X51" s="5"/>
      <c r="Y51" s="5"/>
      <c r="Z51" s="10"/>
      <c r="AA51" s="10"/>
      <c r="AB51" s="10"/>
    </row>
    <row r="52" spans="4:28" ht="18" customHeight="1"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5"/>
      <c r="V52" s="5"/>
      <c r="W52" s="5"/>
      <c r="X52" s="5"/>
      <c r="Y52" s="5"/>
      <c r="Z52" s="10"/>
      <c r="AA52" s="10"/>
      <c r="AB52" s="10"/>
    </row>
    <row r="53" spans="4:28" ht="18" customHeight="1"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5"/>
      <c r="V53" s="5"/>
      <c r="W53" s="5"/>
      <c r="X53" s="5"/>
      <c r="Y53" s="5"/>
      <c r="Z53" s="10"/>
      <c r="AA53" s="10"/>
      <c r="AB53" s="10"/>
    </row>
    <row r="54" spans="4:28" ht="18" customHeight="1"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5"/>
      <c r="V54" s="5"/>
      <c r="W54" s="5"/>
      <c r="X54" s="5"/>
      <c r="Y54" s="5"/>
      <c r="Z54" s="10"/>
      <c r="AA54" s="10"/>
      <c r="AB54" s="10"/>
    </row>
    <row r="55" spans="4:28" ht="18" customHeight="1"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4:28" ht="18" customHeight="1"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4:28" ht="18" customHeight="1"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4:28" ht="18" customHeight="1"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4:28" ht="18" customHeight="1"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4:28" ht="18" customHeight="1"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4:28" ht="18" customHeight="1"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4:28" ht="18" customHeight="1"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4:28" ht="18" customHeight="1"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4:28" ht="18" customHeight="1"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4:28" ht="18" customHeight="1"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4:28" ht="18" customHeight="1"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4:28" ht="18" customHeight="1"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4:28" ht="18" customHeight="1"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4:28" ht="18" customHeight="1"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4:28" ht="18" customHeight="1"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4:28" ht="18" customHeight="1"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4:28" ht="18" customHeight="1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4:28" ht="18" customHeight="1"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4:28" ht="18" customHeight="1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4:28" ht="18" customHeight="1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4:28" ht="18" customHeight="1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4:28" ht="18" customHeigh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4:28" ht="18" customHeight="1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4:28" ht="18" customHeight="1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4:28" ht="18" customHeigh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4:28" ht="18" customHeight="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4:28" ht="18" customHeight="1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4:28" ht="18" customHeight="1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4:28" ht="18" customHeight="1"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4:28" ht="18" customHeight="1"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4:28" ht="18" customHeight="1"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4:28" ht="18" customHeight="1"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4:28" ht="18" customHeight="1"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4:28" ht="18" customHeight="1"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4:28" ht="18" customHeight="1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4:28" ht="18" customHeight="1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4:28" ht="18" customHeight="1"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4:28" ht="18" customHeight="1"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4:28" ht="18" customHeight="1"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4:28" ht="18" customHeight="1"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4:28" ht="18" customHeight="1"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4:28" ht="18" customHeight="1"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4:28" ht="18" customHeight="1"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4:28" ht="18" customHeight="1"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4:28" ht="18" customHeight="1"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4:28" ht="18" customHeight="1"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4:28" ht="18" customHeight="1"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4:28" ht="18" customHeight="1"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4:28" ht="18" customHeight="1"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4:28" ht="18" customHeight="1"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4:28" ht="18" customHeight="1"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4:28" ht="18" customHeight="1"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4:28" ht="18" customHeight="1"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4:28" ht="18" customHeight="1"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4:28" ht="18" customHeight="1"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4:28" ht="18" customHeight="1"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4:28" ht="18" customHeight="1"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4:28" ht="18" customHeight="1"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4:28" ht="18" customHeight="1"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4:28" ht="18" customHeight="1"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4:28" ht="18" customHeight="1"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4:28" ht="18" customHeight="1"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4:28" ht="18" customHeight="1"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4:28" ht="18" customHeight="1"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4:28" ht="18" customHeight="1"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4:28" ht="18" customHeight="1"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4:28" ht="18" customHeight="1"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4:28" ht="18" customHeight="1"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4:28" ht="18" customHeight="1"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4:28" ht="18" customHeight="1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4:28" ht="18" customHeight="1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4:28" ht="18" customHeight="1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4:28" ht="18" customHeight="1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4:28" ht="18" customHeight="1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4:28" ht="18" customHeight="1"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4:28" ht="18" customHeight="1"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4:28" ht="18" customHeight="1"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4:28" ht="18" customHeight="1"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4:28" ht="18" customHeight="1"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4:28" ht="18" customHeight="1"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4:28" ht="18" customHeight="1"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4:28" ht="18" customHeight="1"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4:28" ht="18" customHeight="1"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4:28" ht="18" customHeight="1"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4:28" ht="18" customHeight="1"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4:28" ht="18" customHeight="1"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4:28" ht="18" customHeight="1"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4:28" ht="18" customHeight="1"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4:28" ht="18" customHeight="1"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4:28" ht="18" customHeight="1"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4:28" ht="18" customHeight="1"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4:28" ht="18" customHeight="1"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4:28" ht="18" customHeight="1"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4:28" ht="18" customHeight="1"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4:28" ht="18" customHeight="1"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4:28" ht="18" customHeight="1"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4:28" ht="18" customHeight="1"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4:28" ht="18" customHeight="1"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4:28" ht="18" customHeight="1"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4:28" ht="18" customHeight="1"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4:28" ht="18" customHeight="1"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4:28" ht="18" customHeight="1"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4:28" ht="18" customHeight="1"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4:28" ht="18" customHeight="1"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4:28" ht="18" customHeight="1"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4:28" ht="18" customHeight="1"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4:28" ht="18" customHeight="1"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4:28" ht="18" customHeight="1"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4:28" ht="18" customHeight="1"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4:28" ht="18" customHeight="1"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4:28" ht="18" customHeight="1"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4:28" ht="18" customHeight="1"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4:28" ht="18" customHeight="1"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4:28" ht="18" customHeight="1"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4:28" ht="18" customHeight="1"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4:28" ht="18" customHeight="1"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4:28" ht="18" customHeight="1"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4:28" ht="18" customHeight="1"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4:28" ht="18" customHeight="1"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4:28" ht="18" customHeight="1"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4:28" ht="18" customHeight="1"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4:28" ht="18" customHeight="1"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4:28" ht="18" customHeight="1"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4:28" ht="18" customHeight="1"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4:28" ht="18" customHeight="1"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4:28" ht="18" customHeight="1"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4:28" ht="18" customHeight="1"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4:28" ht="18" customHeight="1"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4:28" ht="18" customHeight="1"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4:28" ht="18" customHeight="1"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4:28" ht="18" customHeight="1"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4:28" ht="18" customHeight="1"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4:28" ht="18" customHeight="1"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4:28" ht="18" customHeight="1"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4:28" ht="18" customHeight="1"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4:28" ht="18" customHeight="1"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4:28" ht="18" customHeight="1"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4:28" ht="18" customHeight="1"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4:28" ht="18" customHeight="1"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4:28" ht="18" customHeight="1"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4:28" ht="18" customHeight="1"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4:28" ht="18" customHeight="1"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4:28" ht="18" customHeight="1"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4:28" ht="18" customHeight="1"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4:28" ht="18" customHeight="1"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4:28" ht="18" customHeight="1"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4:28" ht="18" customHeight="1"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4:28" ht="18" customHeight="1"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4:28" ht="18" customHeight="1"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4:28" ht="18" customHeight="1"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4:28" ht="18" customHeight="1"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4:28" ht="18" customHeight="1"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4:28" ht="18" customHeight="1"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4:28" ht="18" customHeight="1"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4:28" ht="18" customHeight="1"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4:28" ht="18" customHeight="1"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4:28" ht="18" customHeight="1"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4:28" ht="18" customHeight="1"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4:28" ht="18" customHeight="1"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4:28" ht="18" customHeight="1"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4:28" ht="18" customHeight="1"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4:28" ht="18" customHeight="1"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4:28" ht="18" customHeight="1"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4:28" ht="18" customHeight="1"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4:28" ht="18" customHeight="1"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4:28" ht="18" customHeight="1"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4:28" ht="18" customHeight="1"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4:28" ht="18" customHeight="1"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4:28" ht="18" customHeight="1"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4:28" ht="18" customHeight="1"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4:28" ht="18" customHeight="1"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4:28" ht="18" customHeight="1"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4:28" ht="18" customHeight="1"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4:28" ht="18" customHeight="1"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4:28" ht="18" customHeight="1"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4:28" ht="18" customHeight="1"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4:28" ht="18" customHeight="1"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4:28" ht="18" customHeight="1"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4:28" ht="18" customHeight="1"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4:28" ht="18" customHeight="1"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4:28" ht="18" customHeight="1"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4:28" ht="18" customHeight="1"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4:28" ht="18" customHeight="1"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4:28" ht="18" customHeight="1"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4:28" ht="18" customHeight="1"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4:28" ht="18" customHeight="1"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4:28" ht="18" customHeight="1"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4:28" ht="18" customHeight="1"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4:28" ht="18" customHeight="1"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4:28" ht="18" customHeight="1"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4:28" ht="18" customHeight="1"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4:28" ht="18" customHeight="1"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4:28" ht="18" customHeight="1"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4:28" ht="18" customHeight="1"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4:28" ht="18" customHeight="1"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4:28" ht="18" customHeight="1"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4:28" ht="18" customHeight="1"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4:28" ht="18" customHeight="1"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4:28" ht="18" customHeight="1"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4:28" ht="18" customHeight="1"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4:28" ht="18" customHeight="1"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4:28" ht="18" customHeight="1"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4:28" ht="18" customHeight="1"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4:28" ht="18" customHeight="1"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4:28" ht="18" customHeight="1"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4:28" ht="18" customHeight="1"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4:28" ht="18" customHeight="1"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4:28" ht="18" customHeight="1"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4:28" ht="18" customHeight="1"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4:28" ht="18" customHeight="1"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4:28" ht="18" customHeight="1"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4:28" ht="18" customHeight="1"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4:28" ht="18" customHeight="1"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4:28" ht="18" customHeight="1"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4:28" ht="18" customHeight="1"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4:28" ht="18" customHeight="1"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4:28" ht="18" customHeight="1"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4:28" ht="18" customHeight="1"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4:28" ht="18" customHeight="1"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4:28" ht="18" customHeight="1"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4:28" ht="18" customHeight="1"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4:28" ht="18" customHeight="1"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4:28" ht="18" customHeight="1"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4:28" ht="18" customHeight="1"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4:28" ht="18" customHeight="1"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4:28" ht="18" customHeight="1"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4:28" ht="18" customHeight="1"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4:28" ht="18" customHeight="1"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4:28" ht="18" customHeight="1"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4:28" ht="18" customHeight="1"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4:28" ht="18" customHeight="1"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4:28" ht="18" customHeight="1"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4:28" ht="18" customHeight="1"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4:28" ht="18" customHeight="1"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4:28" ht="18" customHeight="1"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4:28" ht="18" customHeight="1"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4:28" ht="18" customHeight="1"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4:28" ht="18" customHeight="1"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4:28" ht="18" customHeight="1"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4:28" ht="18" customHeight="1"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4:28" ht="18" customHeight="1"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4:28" ht="18" customHeight="1"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4:28" ht="18" customHeight="1"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4:28" ht="18" customHeight="1"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4:28" ht="18" customHeight="1"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4:28" ht="18" customHeight="1"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4:28" ht="18" customHeight="1"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4:28" ht="18" customHeight="1"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4:28" ht="18" customHeight="1"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4:28" ht="18" customHeight="1"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4:28" ht="18" customHeight="1"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4:28" ht="18" customHeight="1"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4:28" ht="18" customHeight="1"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4:28" ht="18" customHeight="1"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4:28" ht="18" customHeight="1"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4:28" ht="18" customHeight="1"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4:28" ht="18" customHeight="1"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4:28" ht="18" customHeight="1"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4:28" ht="18" customHeight="1"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4:28" ht="18" customHeight="1"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4:28" ht="18" customHeight="1"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4:28" ht="18" customHeight="1"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4:28" ht="18" customHeight="1"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4:28" ht="18" customHeight="1"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4:28" ht="18" customHeight="1"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4:28" ht="18" customHeight="1"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4:28" ht="18" customHeight="1"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4:28" ht="18" customHeight="1"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4:28" ht="18" customHeight="1"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4:28" ht="18" customHeight="1"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4:28" ht="18" customHeight="1"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4:28" ht="18" customHeight="1"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4:28" ht="18" customHeight="1"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4:28" ht="18" customHeight="1"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4:28" ht="18" customHeight="1"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4:28" ht="18" customHeight="1"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4:28" ht="18" customHeight="1"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4:28" ht="18" customHeight="1"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4:28" ht="18" customHeight="1"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4:28" ht="18" customHeight="1"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4:28" ht="18" customHeight="1"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4:28" ht="18" customHeight="1"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4:28" ht="18" customHeight="1"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4:28" ht="18" customHeight="1"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4:28" ht="18" customHeight="1"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4:28" ht="18" customHeight="1"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4:28" ht="18" customHeight="1"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4:28" ht="18" customHeight="1"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4:28" ht="18" customHeight="1"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4:28" ht="18" customHeight="1"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4:28" ht="18" customHeight="1"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4:28" ht="18" customHeight="1"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4:28" ht="18" customHeight="1"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4:28" ht="18" customHeight="1"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4:28" ht="18" customHeight="1"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4:28" ht="18" customHeight="1"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4:28" ht="18" customHeight="1"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4:28" ht="18" customHeight="1"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4:28" ht="18" customHeight="1"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4:28" ht="18" customHeight="1"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4:28" ht="18" customHeight="1"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4:28" ht="18" customHeight="1"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4:28" ht="18" customHeight="1"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4:28" ht="18" customHeight="1"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4:28" ht="18" customHeight="1"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4:28" ht="18" customHeight="1"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4:28" ht="18" customHeight="1"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4:28" ht="18" customHeight="1"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4:28" ht="18" customHeight="1"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4:28" ht="18" customHeight="1"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4:28" ht="18" customHeight="1"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4:28" ht="18" customHeight="1"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4:28" ht="18" customHeight="1"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4:28" ht="18" customHeight="1"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4:28" ht="18" customHeight="1"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4:28" ht="18" customHeight="1"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4:28" ht="18" customHeight="1"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4:28" ht="18" customHeight="1"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4:28" ht="18" customHeight="1"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4:28" ht="18" customHeight="1"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4:28" ht="18" customHeight="1"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4:28" ht="18" customHeight="1"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4:28" ht="18" customHeight="1"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4:28" ht="18" customHeight="1"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4:28" ht="18" customHeight="1"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4:28" ht="18" customHeight="1"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4:28" ht="18" customHeight="1"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4:28" ht="18" customHeight="1"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4:28" ht="18" customHeight="1"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4:28" ht="18" customHeight="1"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4:28" ht="18" customHeight="1"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4:28" ht="18" customHeight="1"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4:28" ht="18" customHeight="1"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4:28" ht="18" customHeight="1"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4:28" ht="18" customHeight="1"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4:28" ht="18" customHeight="1"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4:28" ht="18" customHeight="1"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4:28" ht="18" customHeight="1"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4:28" ht="18" customHeight="1"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4:28" ht="18" customHeight="1"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4:28" ht="18" customHeight="1"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4:28" ht="18" customHeight="1"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4:28" ht="18" customHeight="1"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4:28" ht="18" customHeight="1"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4:28" ht="18" customHeight="1"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4:28" ht="18" customHeight="1"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4:28" ht="18" customHeight="1"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4:28" ht="18" customHeight="1"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4:28" ht="18" customHeight="1"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4:28" ht="18" customHeight="1"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4:28" ht="18" customHeight="1"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4:28" ht="18" customHeight="1"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4:28" ht="18" customHeight="1"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4:28" ht="18" customHeight="1"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4:28" ht="18" customHeight="1"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4:28" ht="18" customHeight="1"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4:28" ht="18" customHeight="1"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4:28" ht="18" customHeight="1"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4:28" ht="18" customHeight="1"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4:28" ht="18" customHeight="1"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4:28" ht="18" customHeight="1"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4:28" ht="18" customHeight="1"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4:28" ht="18" customHeight="1"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4:28" ht="18" customHeight="1"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4:28" ht="18" customHeight="1"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4:28" ht="18" customHeight="1"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4:28" ht="18" customHeight="1"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4:28" ht="18" customHeight="1"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4:28" ht="18" customHeight="1"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4:28" ht="18" customHeight="1"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4:28" ht="18" customHeight="1"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4:28" ht="18" customHeight="1"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4:28" ht="18" customHeight="1"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4:28" ht="18" customHeight="1"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4:28" ht="18" customHeight="1"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4:28" ht="18" customHeight="1"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4:28" ht="18" customHeight="1"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4:28" ht="18" customHeight="1"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4:28" ht="18" customHeight="1"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4:28" ht="18" customHeight="1"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4:28" ht="18" customHeight="1"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4:28" ht="18" customHeight="1"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4:28" ht="18" customHeight="1"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4:28" ht="18" customHeight="1"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4:28" ht="18" customHeight="1"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4:28" ht="18" customHeight="1"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4:28" ht="18" customHeight="1"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4:28" ht="18" customHeight="1"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4:28" ht="18" customHeight="1"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4:28" ht="18" customHeight="1"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4:28" ht="18" customHeight="1"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4:28" ht="18" customHeight="1"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4:28" ht="18" customHeight="1"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4:28" ht="18" customHeight="1"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4:28" ht="18" customHeight="1"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4:28" ht="18" customHeight="1"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4:28" ht="18" customHeight="1"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4:28" ht="18" customHeight="1"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4:28" ht="18" customHeight="1"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4:28" ht="18" customHeight="1"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4:28" ht="18" customHeight="1"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4:28" ht="18" customHeight="1"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4:28" ht="18" customHeight="1"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4:28" ht="18" customHeight="1"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4:28" ht="18" customHeight="1"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4:28" ht="18" customHeight="1"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4:28" ht="18" customHeight="1"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4:28" ht="18" customHeight="1"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4:28" ht="18" customHeight="1"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4:28" ht="18" customHeight="1"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4:28" ht="18" customHeight="1"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4:28" ht="18" customHeight="1"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4:28" ht="18" customHeight="1"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4:28" ht="18" customHeight="1"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4:28" ht="18" customHeight="1"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4:28" ht="18" customHeight="1"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4:28" ht="18" customHeight="1"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4:28" ht="18" customHeight="1"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4:28" ht="18" customHeight="1"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4:28" ht="18" customHeight="1"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4:28" ht="18" customHeight="1"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4:28" ht="18" customHeight="1"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4:28" ht="18" customHeight="1"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4:28" ht="18" customHeight="1"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4:28" ht="18" customHeight="1"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4:28" ht="18" customHeight="1"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4:28" ht="18" customHeight="1"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4:28" ht="18" customHeight="1"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4:28" ht="18" customHeight="1"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4:28" ht="18" customHeight="1"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4:28" ht="18" customHeight="1"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4:28" ht="18" customHeight="1"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4:28" ht="18" customHeight="1"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4:28" ht="18" customHeight="1"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4:28" ht="18" customHeight="1"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4:28" ht="18" customHeight="1"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4:28" ht="18" customHeight="1"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4:28" ht="18" customHeight="1"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4:28" ht="18" customHeight="1"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4:28" ht="18" customHeight="1"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4:28" ht="18" customHeight="1"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4:28" ht="18" customHeight="1"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4:28" ht="18" customHeight="1"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4:28" ht="18" customHeight="1"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4:28" ht="18" customHeight="1"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4:28" ht="18" customHeight="1"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4:28" ht="18" customHeight="1"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4:28" ht="18" customHeight="1"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4:28" ht="18" customHeight="1"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4:28" ht="18" customHeight="1"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4:28" ht="18" customHeight="1"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4:28" ht="18" customHeight="1"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4:28" ht="18" customHeight="1"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4:28" ht="18" customHeight="1"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4:28" ht="18" customHeight="1"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4:28" ht="18" customHeight="1"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4:28" ht="18" customHeight="1"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4:28" ht="18" customHeight="1"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4:28" ht="18" customHeight="1"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4:28" ht="18" customHeight="1"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4:28" ht="18" customHeight="1"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4:28" ht="18" customHeight="1"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4:28" ht="18" customHeight="1"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4:28" ht="18" customHeight="1"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4:28" ht="18" customHeight="1"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4:28" ht="18" customHeight="1"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4:28" ht="18" customHeight="1"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4:28" ht="18" customHeight="1"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4:28" ht="18" customHeight="1"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4:28" ht="18" customHeight="1"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4:28" ht="18" customHeight="1"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4:28" ht="18" customHeight="1"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4:28" ht="18" customHeight="1"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4:28" ht="18" customHeight="1"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4:28" ht="18" customHeight="1"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4:28" ht="18" customHeight="1"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4:28" ht="18" customHeight="1"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4:28" ht="18" customHeight="1"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4:28" ht="18" customHeight="1"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4:28" ht="18" customHeight="1"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4:28" ht="18" customHeight="1"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4:28" ht="18" customHeight="1"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4:28" ht="18" customHeight="1"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4:28" ht="18" customHeight="1"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4:28" ht="18" customHeight="1"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4:28" ht="18" customHeight="1"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4:28" ht="18" customHeight="1"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4:28" ht="18" customHeight="1"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4:28" ht="18" customHeight="1"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4:28" ht="18" customHeight="1"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4:28" ht="18" customHeight="1"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4:28" ht="18" customHeight="1"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4:28" ht="18" customHeight="1"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4:28" ht="18" customHeight="1"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4:28" ht="18" customHeight="1"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4:28" ht="18" customHeight="1"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4:28" ht="18" customHeight="1"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4:28" ht="18" customHeight="1"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4:28" ht="18" customHeight="1"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4:28" ht="18" customHeight="1"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4:28" ht="18" customHeight="1"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4:28" ht="18" customHeight="1"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4:28" ht="18" customHeight="1"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4:28" ht="18" customHeight="1"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4:28" ht="18" customHeight="1"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4:28" ht="18" customHeight="1"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4:28" ht="18" customHeight="1"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4:28" ht="18" customHeight="1"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4:28" ht="18" customHeight="1"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4:28" ht="18" customHeight="1"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4:28" ht="18" customHeight="1"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4:28" ht="18" customHeight="1"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4:28" ht="18" customHeight="1"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4:28" ht="18" customHeight="1"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4:28" ht="18" customHeight="1"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4:28" ht="18" customHeight="1"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4:28" ht="18" customHeight="1"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4:28" ht="18" customHeight="1"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4:28" ht="18" customHeight="1"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4:28" ht="18" customHeight="1"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4:28" ht="18" customHeight="1"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4:28" ht="18" customHeight="1"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4:28" ht="18" customHeight="1"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4:28" ht="18" customHeight="1"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4:28" ht="18" customHeight="1"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4:28" ht="18" customHeight="1"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4:28" ht="18" customHeight="1"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4:28" ht="18" customHeight="1"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4:28" ht="18" customHeight="1"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4:28" ht="18" customHeight="1"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4:28" ht="18" customHeight="1"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4:28" ht="18" customHeight="1"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4:28" ht="18" customHeight="1"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4:28" ht="18" customHeight="1"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4:28" ht="18" customHeight="1"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4:28" ht="18" customHeight="1"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4:28" ht="18" customHeight="1"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4:28" ht="18" customHeight="1"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4:28" ht="18" customHeight="1"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4:28" ht="18" customHeight="1"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4:28" ht="18" customHeight="1"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4:28" ht="18" customHeight="1"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4:28" ht="18" customHeight="1"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4:28" ht="18" customHeight="1"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4:28" ht="18" customHeight="1"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4:28" ht="18" customHeight="1"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4:28" ht="18" customHeight="1"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4:28" ht="18" customHeight="1"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4:28" ht="18" customHeight="1"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4:28" ht="18" customHeight="1"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4:28" ht="18" customHeight="1"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4:28" ht="18" customHeight="1"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4:28" ht="18" customHeight="1"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4:28" ht="18" customHeight="1"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4:28" ht="18" customHeight="1"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4:28" ht="18" customHeight="1"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4:28" ht="18" customHeight="1"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4:28" ht="18" customHeight="1"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4:28" ht="18" customHeight="1"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4:28" ht="18" customHeight="1"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4:28" ht="18" customHeight="1"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4:28" ht="18" customHeight="1"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4:28" ht="18" customHeight="1"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4:28" ht="18" customHeight="1"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4:28" ht="18" customHeight="1"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4:28" ht="18" customHeight="1"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4:28" ht="18" customHeight="1"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4:28" ht="18" customHeight="1"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4:28" ht="18" customHeight="1"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4:28" ht="18" customHeight="1"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4:28" ht="18" customHeight="1"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4:28" ht="18" customHeight="1"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4:28" ht="18" customHeight="1"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4:28" ht="18" customHeight="1"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4:28" ht="18" customHeight="1"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4:28" ht="18" customHeight="1"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4:28" ht="18" customHeight="1"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4:28" ht="18" customHeight="1"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4:28" ht="18" customHeight="1"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4:28" ht="18" customHeight="1"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4:28" ht="18" customHeight="1"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4:28" ht="18" customHeight="1"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4:28" ht="18" customHeight="1"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4:28" ht="18" customHeight="1"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4:28" ht="18" customHeight="1"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4:28" ht="18" customHeight="1"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4:28" ht="18" customHeight="1"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4:28" ht="18" customHeight="1"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4:28" ht="18" customHeight="1"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4:28" ht="18" customHeight="1"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4:28" ht="18" customHeight="1"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4:28" ht="18" customHeight="1"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4:28" ht="18" customHeight="1"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4:28" ht="18" customHeight="1"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4:28" ht="18" customHeight="1"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4:28" ht="18" customHeight="1"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4:28" ht="18" customHeight="1"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4:28" ht="18" customHeight="1"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4:28" ht="18" customHeight="1"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4:28" ht="18" customHeight="1"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4:28" ht="18" customHeight="1"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4:28" ht="18" customHeight="1"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4:28" ht="18" customHeight="1"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4:28" ht="18" customHeight="1"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4:28" ht="18" customHeight="1"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4:28" ht="18" customHeight="1"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4:28" ht="18" customHeight="1"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4:28" ht="18" customHeight="1"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4:28" ht="18" customHeight="1"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4:28" ht="18" customHeight="1"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4:28" ht="18" customHeight="1"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4:28" ht="18" customHeight="1"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4:28" ht="18" customHeight="1"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4:28" ht="18" customHeight="1"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4:28" ht="18" customHeight="1"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4:28" ht="18" customHeight="1"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4:28" ht="18" customHeight="1"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4:28" ht="18" customHeight="1"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4:28" ht="18" customHeight="1"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4:28" ht="18" customHeight="1"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4:28" ht="18" customHeight="1"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4:28" ht="18" customHeight="1"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4:28" ht="18" customHeight="1"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4:28" ht="18" customHeight="1"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4:28" ht="18" customHeight="1"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4:28" ht="18" customHeight="1"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4:28" ht="18" customHeight="1"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4:28" ht="18" customHeight="1"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4:28" ht="18" customHeight="1"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4:28" ht="18" customHeight="1"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4:28" ht="18" customHeight="1"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4:28" ht="18" customHeight="1"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4:28" ht="18" customHeight="1"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4:28" ht="18" customHeight="1"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4:28" ht="18" customHeight="1"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4:28" ht="18" customHeight="1"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4:28" ht="18" customHeight="1"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4:28" ht="18" customHeight="1"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4:28" ht="18" customHeight="1"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4:28" ht="18" customHeight="1"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4:28" ht="18" customHeight="1"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4:28" ht="18" customHeight="1"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4:28" ht="18" customHeight="1"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4:28" ht="18" customHeight="1"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4:28" ht="18" customHeight="1"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4:28" ht="18" customHeight="1"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4:28" ht="18" customHeight="1"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4:28" ht="18" customHeight="1"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4:28" ht="18" customHeight="1"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4:28" ht="18" customHeight="1"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4:28" ht="18" customHeight="1"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4:28" ht="18" customHeight="1"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4:28" ht="18" customHeight="1"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4:28" ht="18" customHeight="1"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4:28" ht="18" customHeight="1"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4:28" ht="18" customHeight="1"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4:28" ht="18" customHeight="1"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4:28" ht="18" customHeight="1"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4:28" ht="18" customHeight="1"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4:28" ht="18" customHeight="1"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4:28" ht="18" customHeight="1"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4:28" ht="18" customHeight="1"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4:28" ht="18" customHeight="1"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4:28" ht="18" customHeight="1"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4:28" ht="18" customHeight="1"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4:28" ht="18" customHeight="1"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4:28" ht="18" customHeight="1"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4:28" ht="18" customHeight="1"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4:28" ht="18" customHeight="1"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4:28" ht="18" customHeight="1"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4:28" ht="18" customHeight="1"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4:28" ht="18" customHeight="1"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4:28" ht="18" customHeight="1"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4:28" ht="18" customHeight="1"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4:28" ht="18" customHeight="1"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4:28" ht="18" customHeight="1"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4:28" ht="18" customHeight="1"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4:28" ht="18" customHeight="1"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4:28" ht="18" customHeight="1"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4:28" ht="18" customHeight="1"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4:28" ht="18" customHeight="1"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4:28" ht="18" customHeight="1"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4:28" ht="18" customHeight="1"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4:28" ht="18" customHeight="1"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4:28" ht="18" customHeight="1"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4:28" ht="18" customHeight="1"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4:28" ht="18" customHeight="1"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4:28" ht="18" customHeight="1"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4:28" ht="18" customHeight="1"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4:28" ht="18" customHeight="1"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4:28" ht="18" customHeight="1"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4:28" ht="18" customHeight="1"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4:28" ht="18" customHeight="1"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4:28" ht="18" customHeight="1"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4:28" ht="18" customHeight="1"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4:28" ht="18" customHeight="1"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4:28" ht="18" customHeight="1"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4:28" ht="18" customHeight="1"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4:28" ht="18" customHeight="1"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4:28" ht="18" customHeight="1"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4:28" ht="18" customHeight="1"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4:28" ht="18" customHeight="1"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4:28" ht="18" customHeight="1"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4:28" ht="18" customHeight="1"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4:28" ht="18" customHeight="1"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4:28" ht="18" customHeight="1"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4:28" ht="18" customHeight="1"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4:28" ht="18" customHeight="1"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4:28" ht="18" customHeight="1"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4:28" ht="18" customHeight="1"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4:28" ht="18" customHeight="1"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4:28" ht="18" customHeight="1"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4:28" ht="18" customHeight="1"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4:28" ht="18" customHeight="1"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4:28" ht="18" customHeight="1"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4:28" ht="18" customHeight="1"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4:28" ht="18" customHeight="1"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4:28" ht="18" customHeight="1"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4:28" ht="18" customHeight="1"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4:28" ht="18" customHeight="1"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4:28" ht="18" customHeight="1"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4:28" ht="18" customHeight="1"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4:28" ht="18" customHeight="1"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4:28" ht="18" customHeight="1"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4:28" ht="18" customHeight="1"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4:28" ht="18" customHeight="1"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4:28" ht="18" customHeight="1"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4:28" ht="18" customHeight="1"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4:28" ht="18" customHeight="1"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4:28" ht="18" customHeight="1"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4:28" ht="18" customHeight="1"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4:28" ht="18" customHeight="1"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4:28" ht="18" customHeight="1"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4:28" ht="18" customHeight="1"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4:28" ht="18" customHeight="1"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4:28" ht="18" customHeight="1"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4:28" ht="18" customHeight="1"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4:28" ht="18" customHeight="1"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4:28" ht="18" customHeight="1"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4:28" ht="18" customHeight="1"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4:28" ht="18" customHeight="1"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4:28" ht="18" customHeight="1"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4:28" ht="18" customHeight="1"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4:28" ht="18" customHeight="1"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4:28" ht="18" customHeight="1"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4:28" ht="18" customHeight="1"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4:28" ht="18" customHeight="1"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4:28" ht="18" customHeight="1"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4:28" ht="18" customHeight="1"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4:28" ht="18" customHeight="1"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4:28" ht="18" customHeight="1"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4:28" ht="18" customHeight="1"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4:28" ht="18" customHeight="1"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4:28" ht="18" customHeight="1"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4:28" ht="18" customHeight="1"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4:28" ht="18" customHeight="1"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4:28" ht="18" customHeight="1"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4:28" ht="18" customHeight="1"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4:28" ht="18" customHeight="1"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4:28" ht="18" customHeight="1"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4:28" ht="18" customHeight="1"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4:28" ht="18" customHeight="1"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4:28" ht="18" customHeight="1"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4:28" ht="18" customHeight="1"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4:28" ht="18" customHeight="1"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4:28" ht="18" customHeight="1"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4:28" ht="18" customHeight="1"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4:28" ht="18" customHeight="1"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4:28" ht="18" customHeight="1"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4:28" ht="18" customHeight="1"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4:28" ht="18" customHeight="1"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4:28" ht="18" customHeight="1"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4:28" ht="18" customHeight="1"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4:28" ht="18" customHeight="1"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4:28" ht="18" customHeight="1"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4:28" ht="18" customHeight="1"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4:28" ht="18" customHeight="1"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4:28" ht="18" customHeight="1"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4:28" ht="18" customHeight="1"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4:28" ht="18" customHeight="1"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4:28" ht="18" customHeight="1"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4:28" ht="18" customHeight="1"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4:28" ht="18" customHeight="1"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4:28" ht="18" customHeight="1"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4:28" ht="18" customHeight="1"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4:28" ht="18" customHeight="1"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4:28" ht="18" customHeight="1"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4:28" ht="18" customHeight="1"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4:28" ht="18" customHeight="1"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4:28" ht="18" customHeight="1"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4:28" ht="18" customHeight="1"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4:28" ht="18" customHeight="1"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4:28" ht="18" customHeight="1"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4:28" ht="18" customHeight="1"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4:28" ht="18" customHeight="1"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4:28" ht="18" customHeight="1"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4:28" ht="18" customHeight="1"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4:28" ht="18" customHeight="1"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4:28" ht="18" customHeight="1"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4:28" ht="18" customHeight="1"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4:28" ht="18" customHeight="1"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4:28" ht="18" customHeight="1"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4:28" ht="18" customHeight="1"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4:28" ht="18" customHeight="1"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4:28" ht="18" customHeight="1"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4:28" ht="18" customHeight="1"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4:28" ht="18" customHeight="1"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4:28" ht="18" customHeight="1"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4:28" ht="18" customHeight="1"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4:28" ht="18" customHeight="1"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4:28" ht="18" customHeight="1"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4:28" ht="18" customHeight="1"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4:28" ht="18" customHeight="1"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4:28" ht="18" customHeight="1"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4:28" ht="18" customHeight="1"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4:28" ht="18" customHeight="1"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4:28" ht="18" customHeight="1"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4:28" ht="18" customHeight="1"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4:28" ht="18" customHeight="1"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4:28" ht="18" customHeight="1"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4:28" ht="18" customHeight="1"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4:28" ht="18" customHeight="1"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4:28" ht="18" customHeight="1"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4:28" ht="18" customHeight="1"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4:28" ht="18" customHeight="1"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4:28" ht="18" customHeight="1"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4:28" ht="18" customHeight="1"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4:28" ht="18" customHeight="1"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4:28" ht="18" customHeight="1"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4:28" ht="18" customHeight="1"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4:28" ht="18" customHeight="1"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4:28" ht="18" customHeight="1"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4:28" ht="18" customHeight="1"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4:28" ht="18" customHeight="1"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4:28" ht="18" customHeight="1"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4:28" ht="18" customHeight="1"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4:28" ht="18" customHeight="1"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4:28" ht="18" customHeight="1"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4:28" ht="18" customHeight="1"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4:28" ht="18" customHeight="1"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4:28" ht="18" customHeight="1"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4:28" ht="18" customHeight="1"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4:28" ht="18" customHeight="1"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4:28" ht="18" customHeight="1"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4:28" ht="18" customHeight="1"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4:28" ht="18" customHeight="1"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4:28" ht="18" customHeight="1"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4:28" ht="18" customHeight="1"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4:28" ht="18" customHeight="1"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4:28" ht="18" customHeight="1"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4:28" ht="18" customHeight="1"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4:28" ht="18" customHeight="1"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4:28" ht="18" customHeight="1"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4:28" ht="18" customHeight="1"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4:28" ht="18" customHeight="1"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4:28" ht="18" customHeight="1"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4:28" ht="18" customHeight="1"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4:28" ht="18" customHeight="1"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4:28" ht="18" customHeight="1"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4:28" ht="18" customHeight="1"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4:28" ht="18" customHeight="1"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4:28" ht="18" customHeight="1"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4:28" ht="18" customHeight="1"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4:28" ht="18" customHeight="1"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4:28" ht="18" customHeight="1"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4:28" ht="18" customHeight="1"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4:28" ht="18" customHeight="1"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4:28" ht="18" customHeight="1"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4:28" ht="18" customHeight="1"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4:28" ht="18" customHeight="1"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4:28" ht="18" customHeight="1"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4:28" ht="18" customHeight="1"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4:28" ht="18" customHeight="1"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4:28" ht="18" customHeight="1"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4:28" ht="18" customHeight="1"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4:28" ht="18" customHeight="1"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4:28" ht="18" customHeight="1"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4:28" ht="18" customHeight="1"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4:28" ht="18" customHeight="1"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4:28" ht="18" customHeight="1"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4:28" ht="18" customHeight="1"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4:28" ht="18" customHeight="1"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4:28" ht="18" customHeight="1"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4:28" ht="18" customHeight="1"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4:28" ht="18" customHeight="1"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4:28" ht="18" customHeight="1"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4:28" ht="18" customHeight="1"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4:28" ht="18" customHeight="1"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4:28" ht="18" customHeight="1"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4:28" ht="18" customHeight="1"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4:28" ht="18" customHeight="1"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4:28" ht="18" customHeight="1"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4:28" ht="18" customHeight="1"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4:28" ht="18" customHeight="1"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4:28" ht="18" customHeight="1"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4:28" ht="18" customHeight="1"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4:28" ht="18" customHeight="1"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4:28" ht="18" customHeight="1"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4:28" ht="18" customHeight="1"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4:28" ht="18" customHeight="1"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4:28" ht="18" customHeight="1"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4:28" ht="18" customHeight="1"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4:28" ht="18" customHeight="1"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4:28" ht="18" customHeight="1"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4:28" ht="18" customHeight="1"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4:28" ht="18" customHeight="1"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4:28" ht="18" customHeight="1"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4:28" ht="18" customHeight="1"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4:28" ht="18" customHeight="1"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4:28" ht="18" customHeight="1"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4:28" ht="18" customHeight="1"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4:28" ht="18" customHeight="1"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4:28" ht="18" customHeight="1"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4:28" ht="18" customHeight="1"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4:28" ht="18" customHeight="1"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4:28" ht="18" customHeight="1"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4:28" ht="18" customHeight="1"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4:28" ht="18" customHeight="1"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4:28" ht="18" customHeight="1"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4:28" ht="18" customHeight="1"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4:28" ht="18" customHeight="1"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4:28" ht="18" customHeight="1"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4:28" ht="18" customHeight="1"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4:28" ht="18" customHeight="1"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4:28" ht="18" customHeight="1"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4:28" ht="18" customHeight="1"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4:28" ht="18" customHeight="1"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4:28" ht="18" customHeight="1"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4:28" ht="18" customHeight="1"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4:28" ht="18" customHeight="1"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4:28" ht="18" customHeight="1"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4:28" ht="18" customHeight="1"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4:28" ht="18" customHeight="1"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4:28" ht="18" customHeight="1"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4:28" ht="18" customHeight="1"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4:28" ht="15" customHeight="1"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4:28" ht="15" customHeight="1"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4:27" ht="15" customHeight="1"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</sheetData>
  <sheetProtection algorithmName="SHA-512" hashValue="7TMTx3ZbYLVDzwfny0GR24rYdzNnItYYoghHsJ/L1QmsASBGnU/4q1EtcoCE43mpZ1Utilltg/SzFCbo+cB29g==" saltValue="Y3h+qZjV18W1M9GX6/et0Q==" spinCount="100000" sheet="1" objects="1" scenarios="1"/>
  <dataConsolidate function="varp"/>
  <mergeCells count="83">
    <mergeCell ref="B8:B16"/>
    <mergeCell ref="D8:G8"/>
    <mergeCell ref="H8:L8"/>
    <mergeCell ref="D9:AB9"/>
    <mergeCell ref="D10:G10"/>
    <mergeCell ref="H10:P10"/>
    <mergeCell ref="D13:F13"/>
    <mergeCell ref="H13:S13"/>
    <mergeCell ref="T13:W13"/>
    <mergeCell ref="X13:AB13"/>
    <mergeCell ref="D14:F14"/>
    <mergeCell ref="H14:I14"/>
    <mergeCell ref="K14:N14"/>
    <mergeCell ref="O14:S14"/>
    <mergeCell ref="T14:U14"/>
    <mergeCell ref="V14:AB14"/>
    <mergeCell ref="B1:J7"/>
    <mergeCell ref="K1:X3"/>
    <mergeCell ref="Y1:Z2"/>
    <mergeCell ref="AA1:AB2"/>
    <mergeCell ref="Y3:Z3"/>
    <mergeCell ref="AA3:AB3"/>
    <mergeCell ref="K4:X4"/>
    <mergeCell ref="Y4:Z5"/>
    <mergeCell ref="AA4:AB5"/>
    <mergeCell ref="K5:X5"/>
    <mergeCell ref="K6:X6"/>
    <mergeCell ref="Y6:Z7"/>
    <mergeCell ref="AA6:AB7"/>
    <mergeCell ref="K7:X7"/>
    <mergeCell ref="AH12:AW12"/>
    <mergeCell ref="R10:S10"/>
    <mergeCell ref="T10:AB10"/>
    <mergeCell ref="D11:G11"/>
    <mergeCell ref="H11:J11"/>
    <mergeCell ref="K11:M11"/>
    <mergeCell ref="N11:Z11"/>
    <mergeCell ref="D12:G12"/>
    <mergeCell ref="H12:L12"/>
    <mergeCell ref="M12:R12"/>
    <mergeCell ref="S12:AB12"/>
    <mergeCell ref="AF12:AG12"/>
    <mergeCell ref="D15:F15"/>
    <mergeCell ref="H15:R15"/>
    <mergeCell ref="S15:X15"/>
    <mergeCell ref="Y15:AB15"/>
    <mergeCell ref="D16:F16"/>
    <mergeCell ref="H16:R16"/>
    <mergeCell ref="S16:X16"/>
    <mergeCell ref="Y16:AB16"/>
    <mergeCell ref="S17:X17"/>
    <mergeCell ref="Y17:AB17"/>
    <mergeCell ref="B18:B21"/>
    <mergeCell ref="D19:F19"/>
    <mergeCell ref="H19:O19"/>
    <mergeCell ref="R19:W19"/>
    <mergeCell ref="X19:AB19"/>
    <mergeCell ref="D20:F20"/>
    <mergeCell ref="H20:O20"/>
    <mergeCell ref="R20:V20"/>
    <mergeCell ref="X20:AB20"/>
    <mergeCell ref="D21:F21"/>
    <mergeCell ref="H21:O21"/>
    <mergeCell ref="B22:B27"/>
    <mergeCell ref="D23:AB24"/>
    <mergeCell ref="D25:AB27"/>
    <mergeCell ref="B28:B32"/>
    <mergeCell ref="D28:AB29"/>
    <mergeCell ref="D30:AB32"/>
    <mergeCell ref="B33:B35"/>
    <mergeCell ref="D34:H34"/>
    <mergeCell ref="K34:AB34"/>
    <mergeCell ref="K35:AB35"/>
    <mergeCell ref="B45:AB47"/>
    <mergeCell ref="U50:V51"/>
    <mergeCell ref="B37:B43"/>
    <mergeCell ref="D38:H38"/>
    <mergeCell ref="K38:R38"/>
    <mergeCell ref="T38:AB38"/>
    <mergeCell ref="D39:H39"/>
    <mergeCell ref="K39:R39"/>
    <mergeCell ref="T39:AB39"/>
    <mergeCell ref="T43:AB43"/>
  </mergeCells>
  <dataValidations count="17">
    <dataValidation allowBlank="1" showInputMessage="1" showErrorMessage="1" prompt="Escribe el nombre completo" sqref="D39:H39 K39:R39 T39:AB39" xr:uid="{888AB7FB-C8DB-4629-8341-4B49660ABC6A}"/>
    <dataValidation type="textLength" operator="equal" allowBlank="1" showInputMessage="1" showErrorMessage="1" error="Debe ser igual a 15 caracteres" prompt="Longitud 15 caracteres" sqref="Y17:AB17" xr:uid="{168A8FE7-209D-4FF0-92F6-616A3D7307D1}">
      <formula1>15</formula1>
    </dataValidation>
    <dataValidation type="textLength" allowBlank="1" showInputMessage="1" showErrorMessage="1" prompt="Longitud maxima 15 caracteres_x000a_" sqref="Y16:AB16" xr:uid="{AB4E60C0-717D-46DB-BFB8-D9450D4722E9}">
      <formula1>9</formula1>
      <formula2>15</formula2>
    </dataValidation>
    <dataValidation type="list" allowBlank="1" showInputMessage="1" showErrorMessage="1" sqref="S12:AB12" xr:uid="{B4B19B5E-9F2F-4D9C-811F-C41194BAA765}">
      <formula1>C_CENTROT</formula1>
    </dataValidation>
    <dataValidation type="textLength" operator="equal" allowBlank="1" showInputMessage="1" showErrorMessage="1" prompt="5 digitos" sqref="AB11" xr:uid="{591938EE-35EC-46D8-A406-64AB0BAF4BA5}">
      <formula1>5</formula1>
    </dataValidation>
    <dataValidation operator="equal" allowBlank="1" showErrorMessage="1" prompt="18 digitos" sqref="X20:AB20" xr:uid="{5383EE21-906A-40AE-8C02-7A0C5BAC2ACE}"/>
    <dataValidation operator="equal" allowBlank="1" showInputMessage="1" showErrorMessage="1" sqref="AC15 Y15" xr:uid="{E6C64575-3415-4450-B9B5-DF3AA5B42E16}"/>
    <dataValidation operator="equal" allowBlank="1" showErrorMessage="1" sqref="H14 J14" xr:uid="{14AD95F5-83F0-41C5-A34B-0FD5BAEADD5B}"/>
    <dataValidation type="list" allowBlank="1" showErrorMessage="1" sqref="H12" xr:uid="{DA967E84-33E0-4B05-ABFA-11F25E3125E2}">
      <formula1>C_ENTIDADF</formula1>
    </dataValidation>
    <dataValidation type="list" allowBlank="1" showInputMessage="1" showErrorMessage="1" prompt="Seleccione de la lista desplegable..." sqref="H21:O21" xr:uid="{F97932AB-369B-48F7-B525-04ACA5FB815F}">
      <formula1>INDIRECT(H$20)</formula1>
    </dataValidation>
    <dataValidation type="list" allowBlank="1" showInputMessage="1" showErrorMessage="1" prompt="Seleccione de la lista desplegable..." sqref="H20:O20" xr:uid="{1094E198-A018-4062-82CB-A8A34DE2D891}">
      <formula1>Servicios</formula1>
    </dataValidation>
    <dataValidation type="list" allowBlank="1" showInputMessage="1" showErrorMessage="1" prompt="Seleccione de la lista desplegable..." sqref="H19:O19" xr:uid="{502B6BAF-227E-4992-9BC3-F56124C6EF6C}">
      <formula1>"ALTA, BAJA, CAMBIO"</formula1>
    </dataValidation>
    <dataValidation type="textLength" allowBlank="1" showInputMessage="1" showErrorMessage="1" prompt="DD/MM/AAAA" sqref="H8:L8" xr:uid="{289231C0-A5DE-4FA6-90E0-93DB2BFD8004}">
      <formula1>1</formula1>
      <formula2>10</formula2>
    </dataValidation>
    <dataValidation type="list" allowBlank="1" showInputMessage="1" showErrorMessage="1" prompt="Seleccione de la lista desplegable..." sqref="X19:AB19" xr:uid="{1FE4CB8A-70D4-4E53-BB78-B4755AC4CA6E}">
      <formula1>"Estructura, Interinato, Guardias y Suplencias, Honorarios"</formula1>
    </dataValidation>
    <dataValidation type="list" allowBlank="1" showInputMessage="1" showErrorMessage="1" sqref="G19" xr:uid="{90FC287F-0AC5-4C1E-B36A-90464D41DDBF}">
      <formula1>"ALTA, BAJA, CAMBIO"</formula1>
    </dataValidation>
    <dataValidation type="textLength" operator="equal" allowBlank="1" showInputMessage="1" showErrorMessage="1" prompt="6 digitos" sqref="H11:J11" xr:uid="{5057B314-2664-4D69-B6E9-77DAB5C190C9}">
      <formula1>6</formula1>
    </dataValidation>
    <dataValidation type="list" allowBlank="1" showInputMessage="1" showErrorMessage="1" prompt="Seleccione de la lista desplegable..." sqref="H15" xr:uid="{92C34084-8E1B-46E3-9F4C-6B9FC4002197}">
      <formula1>C_OFICINA</formula1>
    </dataValidation>
  </dataValidations>
  <printOptions horizontalCentered="1" verticalCentered="1"/>
  <pageMargins left="0.31496062992125984" right="0.31496062992125984" top="0.35433070866141736" bottom="0.15748031496062992" header="0" footer="0"/>
  <pageSetup scale="8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CA3FF8-B85D-4D7B-A2A5-9E7EFCC49ECA}">
          <x14:formula1>
            <xm:f>Aux!$D$2:$D$69</xm:f>
          </x14:formula1>
          <xm:sqref>H16:R16</xm:sqref>
        </x14:dataValidation>
        <x14:dataValidation type="list" allowBlank="1" showInputMessage="1" showErrorMessage="1" xr:uid="{3DA8E774-64C1-4639-B15F-74415471A999}">
          <x14:formula1>
            <xm:f>Aux!$C$2:$C$443</xm:f>
          </x14:formula1>
          <xm:sqref>N11:Z11</xm:sqref>
        </x14:dataValidation>
        <x14:dataValidation type="list" allowBlank="1" showInputMessage="1" showErrorMessage="1" xr:uid="{DF3B9FAA-F6C3-47A7-8BA0-79EBDF6783FF}">
          <x14:formula1>
            <xm:f>Aux!$B$2:$B$18</xm:f>
          </x14:formula1>
          <xm:sqref>K35:AB35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5471-D7B3-4777-94DE-5655AB1A23B7}">
  <sheetPr codeName="Hoja2"/>
  <dimension ref="A1:M1361"/>
  <sheetViews>
    <sheetView topLeftCell="E1" zoomScale="110" zoomScaleNormal="110" zoomScaleSheetLayoutView="90" workbookViewId="0">
      <selection activeCell="E19" sqref="E19"/>
    </sheetView>
  </sheetViews>
  <sheetFormatPr baseColWidth="10" defaultColWidth="11" defaultRowHeight="18" customHeight="1"/>
  <cols>
    <col min="1" max="1" width="64.09765625" style="16" bestFit="1" customWidth="1"/>
    <col min="2" max="2" width="11" style="20"/>
    <col min="3" max="3" width="15.19921875" style="16" customWidth="1"/>
    <col min="4" max="4" width="13.69921875" style="16" customWidth="1"/>
    <col min="5" max="5" width="62.59765625" style="16" customWidth="1"/>
    <col min="6" max="6" width="18.8984375" style="16" customWidth="1"/>
    <col min="7" max="7" width="17.59765625" style="16" customWidth="1"/>
    <col min="8" max="8" width="16.69921875" style="16" customWidth="1"/>
    <col min="9" max="9" width="52" style="16" customWidth="1"/>
    <col min="10" max="10" width="77.69921875" style="16" customWidth="1"/>
    <col min="11" max="11" width="30" style="16" bestFit="1" customWidth="1"/>
    <col min="12" max="12" width="11" style="22"/>
    <col min="13" max="16384" width="11" style="16"/>
  </cols>
  <sheetData>
    <row r="1" spans="1:12" ht="18" customHeight="1">
      <c r="A1" s="12" t="s">
        <v>42</v>
      </c>
      <c r="B1" s="13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2" t="s">
        <v>49</v>
      </c>
      <c r="I1" s="14" t="s">
        <v>50</v>
      </c>
      <c r="J1" s="12" t="s">
        <v>51</v>
      </c>
      <c r="K1" s="12" t="s">
        <v>52</v>
      </c>
      <c r="L1" s="15" t="s">
        <v>53</v>
      </c>
    </row>
    <row r="2" spans="1:12" ht="18" customHeight="1">
      <c r="A2" s="16" t="s">
        <v>54</v>
      </c>
      <c r="B2" s="17" t="s">
        <v>55</v>
      </c>
      <c r="C2" s="18" t="s">
        <v>56</v>
      </c>
      <c r="D2" s="18" t="s">
        <v>57</v>
      </c>
      <c r="E2" s="18" t="s">
        <v>58</v>
      </c>
      <c r="F2" s="18" t="s">
        <v>59</v>
      </c>
      <c r="G2" s="18" t="s">
        <v>60</v>
      </c>
      <c r="H2" s="18" t="s">
        <v>61</v>
      </c>
      <c r="I2" s="18" t="s">
        <v>62</v>
      </c>
      <c r="J2" s="18" t="s">
        <v>63</v>
      </c>
      <c r="K2" s="18" t="s">
        <v>61</v>
      </c>
      <c r="L2" s="19">
        <v>20140</v>
      </c>
    </row>
    <row r="3" spans="1:12" ht="18" customHeight="1">
      <c r="A3" s="16" t="s">
        <v>64</v>
      </c>
      <c r="B3" s="17" t="s">
        <v>65</v>
      </c>
      <c r="C3" s="18" t="s">
        <v>56</v>
      </c>
      <c r="D3" s="18" t="s">
        <v>66</v>
      </c>
      <c r="E3" s="18" t="s">
        <v>67</v>
      </c>
      <c r="F3" s="18" t="s">
        <v>59</v>
      </c>
      <c r="G3" s="18" t="s">
        <v>60</v>
      </c>
      <c r="H3" s="18" t="s">
        <v>68</v>
      </c>
      <c r="I3" s="18" t="s">
        <v>69</v>
      </c>
      <c r="J3" s="18" t="s">
        <v>70</v>
      </c>
      <c r="K3" s="18" t="s">
        <v>71</v>
      </c>
      <c r="L3" s="19">
        <v>21110</v>
      </c>
    </row>
    <row r="4" spans="1:12" ht="18" customHeight="1">
      <c r="A4" s="16" t="s">
        <v>72</v>
      </c>
      <c r="B4" s="17" t="s">
        <v>73</v>
      </c>
      <c r="C4" s="18" t="s">
        <v>56</v>
      </c>
      <c r="D4" s="18" t="s">
        <v>74</v>
      </c>
      <c r="E4" s="18" t="s">
        <v>75</v>
      </c>
      <c r="F4" s="18" t="s">
        <v>59</v>
      </c>
      <c r="G4" s="18" t="s">
        <v>60</v>
      </c>
      <c r="H4" s="18" t="s">
        <v>76</v>
      </c>
      <c r="I4" s="18" t="s">
        <v>77</v>
      </c>
      <c r="J4" s="18" t="s">
        <v>78</v>
      </c>
      <c r="K4" s="18" t="s">
        <v>79</v>
      </c>
      <c r="L4" s="19">
        <v>23040</v>
      </c>
    </row>
    <row r="5" spans="1:12" ht="18" customHeight="1">
      <c r="A5" s="16" t="s">
        <v>80</v>
      </c>
      <c r="B5" s="17" t="s">
        <v>81</v>
      </c>
      <c r="C5" s="18" t="s">
        <v>56</v>
      </c>
      <c r="D5" s="18" t="s">
        <v>82</v>
      </c>
      <c r="E5" s="18" t="s">
        <v>83</v>
      </c>
      <c r="F5" s="18" t="s">
        <v>59</v>
      </c>
      <c r="G5" s="18" t="s">
        <v>60</v>
      </c>
      <c r="H5" s="18" t="s">
        <v>84</v>
      </c>
      <c r="I5" s="18" t="s">
        <v>85</v>
      </c>
      <c r="J5" s="18" t="s">
        <v>86</v>
      </c>
      <c r="K5" s="18" t="s">
        <v>84</v>
      </c>
      <c r="L5" s="19">
        <v>24000</v>
      </c>
    </row>
    <row r="6" spans="1:12" ht="18" customHeight="1">
      <c r="A6" s="16" t="s">
        <v>87</v>
      </c>
      <c r="B6" s="17" t="s">
        <v>88</v>
      </c>
      <c r="C6" s="18" t="s">
        <v>56</v>
      </c>
      <c r="D6" s="18" t="s">
        <v>89</v>
      </c>
      <c r="E6" s="18" t="s">
        <v>90</v>
      </c>
      <c r="F6" s="18" t="s">
        <v>59</v>
      </c>
      <c r="G6" s="18" t="s">
        <v>60</v>
      </c>
      <c r="H6" s="18" t="s">
        <v>91</v>
      </c>
      <c r="I6" s="18" t="s">
        <v>92</v>
      </c>
      <c r="J6" s="18" t="s">
        <v>93</v>
      </c>
      <c r="K6" s="18" t="s">
        <v>94</v>
      </c>
      <c r="L6" s="19">
        <v>29060</v>
      </c>
    </row>
    <row r="7" spans="1:12" ht="18" customHeight="1">
      <c r="A7" s="16" t="s">
        <v>95</v>
      </c>
      <c r="B7" s="17" t="s">
        <v>96</v>
      </c>
      <c r="C7" s="18" t="s">
        <v>56</v>
      </c>
      <c r="D7" s="18" t="s">
        <v>97</v>
      </c>
      <c r="E7" s="18" t="s">
        <v>98</v>
      </c>
      <c r="F7" s="18" t="s">
        <v>59</v>
      </c>
      <c r="G7" s="18" t="s">
        <v>60</v>
      </c>
      <c r="H7" s="18" t="s">
        <v>99</v>
      </c>
      <c r="I7" s="18" t="s">
        <v>100</v>
      </c>
      <c r="J7" s="18" t="s">
        <v>101</v>
      </c>
      <c r="K7" s="18" t="s">
        <v>99</v>
      </c>
      <c r="L7" s="19">
        <v>31109</v>
      </c>
    </row>
    <row r="8" spans="1:12" ht="18" customHeight="1">
      <c r="A8" s="16" t="s">
        <v>102</v>
      </c>
      <c r="B8" s="17" t="s">
        <v>103</v>
      </c>
      <c r="C8" s="18" t="s">
        <v>56</v>
      </c>
      <c r="D8" s="18" t="s">
        <v>104</v>
      </c>
      <c r="E8" s="18" t="s">
        <v>105</v>
      </c>
      <c r="F8" s="18" t="s">
        <v>59</v>
      </c>
      <c r="G8" s="18" t="s">
        <v>60</v>
      </c>
      <c r="H8" s="18" t="s">
        <v>106</v>
      </c>
      <c r="I8" s="18" t="s">
        <v>107</v>
      </c>
      <c r="J8" s="18" t="s">
        <v>108</v>
      </c>
      <c r="K8" s="18" t="s">
        <v>109</v>
      </c>
      <c r="L8" s="19">
        <v>25284</v>
      </c>
    </row>
    <row r="9" spans="1:12" ht="18" customHeight="1">
      <c r="A9" s="16" t="s">
        <v>110</v>
      </c>
      <c r="B9" s="17" t="s">
        <v>111</v>
      </c>
      <c r="C9" s="18" t="s">
        <v>56</v>
      </c>
      <c r="D9" s="18" t="s">
        <v>112</v>
      </c>
      <c r="E9" s="18" t="s">
        <v>113</v>
      </c>
      <c r="F9" s="18" t="s">
        <v>59</v>
      </c>
      <c r="G9" s="18" t="s">
        <v>60</v>
      </c>
      <c r="H9" s="18" t="s">
        <v>114</v>
      </c>
      <c r="I9" s="18" t="s">
        <v>115</v>
      </c>
      <c r="J9" s="18" t="s">
        <v>116</v>
      </c>
      <c r="K9" s="18" t="s">
        <v>114</v>
      </c>
      <c r="L9" s="19">
        <v>28010</v>
      </c>
    </row>
    <row r="10" spans="1:12" ht="18" customHeight="1">
      <c r="A10" s="16" t="s">
        <v>117</v>
      </c>
      <c r="B10" s="17" t="s">
        <v>118</v>
      </c>
      <c r="C10" s="18" t="s">
        <v>56</v>
      </c>
      <c r="D10" s="18" t="s">
        <v>119</v>
      </c>
      <c r="E10" s="18" t="s">
        <v>120</v>
      </c>
      <c r="F10" s="18" t="s">
        <v>59</v>
      </c>
      <c r="G10" s="18" t="s">
        <v>60</v>
      </c>
      <c r="H10" s="18" t="s">
        <v>121</v>
      </c>
      <c r="I10" s="18" t="s">
        <v>122</v>
      </c>
      <c r="J10" s="18" t="s">
        <v>123</v>
      </c>
      <c r="K10" s="18" t="s">
        <v>121</v>
      </c>
      <c r="L10" s="19">
        <v>34227</v>
      </c>
    </row>
    <row r="11" spans="1:12" ht="18" customHeight="1">
      <c r="A11" s="16" t="s">
        <v>124</v>
      </c>
      <c r="B11" s="17" t="s">
        <v>125</v>
      </c>
      <c r="C11" s="18" t="s">
        <v>56</v>
      </c>
      <c r="D11" s="18" t="s">
        <v>126</v>
      </c>
      <c r="E11" s="18" t="s">
        <v>127</v>
      </c>
      <c r="F11" s="18" t="s">
        <v>59</v>
      </c>
      <c r="G11" s="18" t="s">
        <v>60</v>
      </c>
      <c r="H11" s="18" t="s">
        <v>128</v>
      </c>
      <c r="I11" s="18" t="s">
        <v>129</v>
      </c>
      <c r="J11" s="18" t="s">
        <v>130</v>
      </c>
      <c r="K11" s="18" t="s">
        <v>131</v>
      </c>
      <c r="L11" s="19">
        <v>38080</v>
      </c>
    </row>
    <row r="12" spans="1:12" ht="18" customHeight="1">
      <c r="A12" s="16" t="s">
        <v>132</v>
      </c>
      <c r="B12" s="17" t="s">
        <v>133</v>
      </c>
      <c r="C12" s="18" t="s">
        <v>56</v>
      </c>
      <c r="D12" s="18" t="s">
        <v>134</v>
      </c>
      <c r="E12" s="18" t="s">
        <v>135</v>
      </c>
      <c r="F12" s="18" t="s">
        <v>59</v>
      </c>
      <c r="G12" s="18" t="s">
        <v>60</v>
      </c>
      <c r="H12" s="18" t="s">
        <v>136</v>
      </c>
      <c r="I12" s="18" t="s">
        <v>137</v>
      </c>
      <c r="J12" s="18" t="s">
        <v>138</v>
      </c>
      <c r="K12" s="18" t="s">
        <v>139</v>
      </c>
      <c r="L12" s="19">
        <v>39300</v>
      </c>
    </row>
    <row r="13" spans="1:12" ht="18" customHeight="1">
      <c r="A13" s="16" t="s">
        <v>140</v>
      </c>
      <c r="B13" s="17" t="s">
        <v>141</v>
      </c>
      <c r="C13" s="18" t="s">
        <v>56</v>
      </c>
      <c r="D13" s="18" t="s">
        <v>142</v>
      </c>
      <c r="E13" s="18" t="s">
        <v>143</v>
      </c>
      <c r="F13" s="18" t="s">
        <v>59</v>
      </c>
      <c r="G13" s="18" t="s">
        <v>60</v>
      </c>
      <c r="H13" s="18" t="s">
        <v>144</v>
      </c>
      <c r="I13" s="18" t="s">
        <v>145</v>
      </c>
      <c r="J13" s="18" t="s">
        <v>146</v>
      </c>
      <c r="K13" s="18" t="s">
        <v>147</v>
      </c>
      <c r="L13" s="19">
        <v>97288</v>
      </c>
    </row>
    <row r="14" spans="1:12" ht="18" customHeight="1">
      <c r="A14" s="16" t="s">
        <v>148</v>
      </c>
      <c r="B14" s="17" t="s">
        <v>149</v>
      </c>
      <c r="C14" s="18" t="s">
        <v>56</v>
      </c>
      <c r="D14" s="18" t="s">
        <v>150</v>
      </c>
      <c r="E14" s="18" t="s">
        <v>151</v>
      </c>
      <c r="F14" s="18" t="s">
        <v>59</v>
      </c>
      <c r="G14" s="18" t="s">
        <v>60</v>
      </c>
      <c r="H14" s="18" t="s">
        <v>152</v>
      </c>
      <c r="I14" s="18" t="s">
        <v>153</v>
      </c>
      <c r="J14" s="18" t="s">
        <v>154</v>
      </c>
      <c r="K14" s="18" t="s">
        <v>155</v>
      </c>
      <c r="L14" s="19">
        <v>63117</v>
      </c>
    </row>
    <row r="15" spans="1:12" ht="18" customHeight="1">
      <c r="A15" s="16" t="s">
        <v>156</v>
      </c>
      <c r="B15" s="17" t="s">
        <v>157</v>
      </c>
      <c r="C15" s="18" t="s">
        <v>56</v>
      </c>
      <c r="D15" s="18" t="s">
        <v>158</v>
      </c>
      <c r="E15" s="18" t="s">
        <v>159</v>
      </c>
      <c r="F15" s="18" t="s">
        <v>59</v>
      </c>
      <c r="G15" s="18" t="s">
        <v>60</v>
      </c>
      <c r="H15" s="18" t="s">
        <v>160</v>
      </c>
      <c r="I15" s="18" t="s">
        <v>161</v>
      </c>
      <c r="J15" s="18" t="s">
        <v>162</v>
      </c>
      <c r="K15" s="18" t="s">
        <v>163</v>
      </c>
      <c r="L15" s="19">
        <v>67185</v>
      </c>
    </row>
    <row r="16" spans="1:12" ht="18" customHeight="1">
      <c r="A16" s="16" t="s">
        <v>164</v>
      </c>
      <c r="B16" s="17" t="s">
        <v>165</v>
      </c>
      <c r="C16" s="18" t="s">
        <v>56</v>
      </c>
      <c r="D16" s="18" t="s">
        <v>166</v>
      </c>
      <c r="E16" s="18" t="s">
        <v>167</v>
      </c>
      <c r="F16" s="18" t="s">
        <v>59</v>
      </c>
      <c r="G16" s="18" t="s">
        <v>60</v>
      </c>
      <c r="H16" s="18" t="s">
        <v>168</v>
      </c>
      <c r="I16" s="18" t="s">
        <v>169</v>
      </c>
      <c r="J16" s="18" t="s">
        <v>170</v>
      </c>
      <c r="K16" s="18" t="s">
        <v>168</v>
      </c>
      <c r="L16" s="19">
        <v>72180</v>
      </c>
    </row>
    <row r="17" spans="1:12" ht="18" customHeight="1">
      <c r="A17" s="16" t="s">
        <v>171</v>
      </c>
      <c r="B17" s="17" t="s">
        <v>172</v>
      </c>
      <c r="C17" s="18" t="s">
        <v>56</v>
      </c>
      <c r="D17" s="18" t="s">
        <v>173</v>
      </c>
      <c r="E17" s="18" t="s">
        <v>174</v>
      </c>
      <c r="F17" s="18" t="s">
        <v>59</v>
      </c>
      <c r="G17" s="18" t="s">
        <v>60</v>
      </c>
      <c r="H17" s="18" t="s">
        <v>175</v>
      </c>
      <c r="I17" s="18" t="s">
        <v>176</v>
      </c>
      <c r="J17" s="18" t="s">
        <v>177</v>
      </c>
      <c r="K17" s="18" t="s">
        <v>175</v>
      </c>
      <c r="L17" s="19">
        <v>76000</v>
      </c>
    </row>
    <row r="18" spans="1:12" ht="18" customHeight="1">
      <c r="A18" s="16" t="s">
        <v>178</v>
      </c>
      <c r="B18" s="17" t="s">
        <v>179</v>
      </c>
      <c r="C18" s="18" t="s">
        <v>56</v>
      </c>
      <c r="D18" s="18" t="s">
        <v>180</v>
      </c>
      <c r="E18" s="18" t="s">
        <v>181</v>
      </c>
      <c r="F18" s="18" t="s">
        <v>59</v>
      </c>
      <c r="G18" s="18" t="s">
        <v>60</v>
      </c>
      <c r="H18" s="18" t="s">
        <v>182</v>
      </c>
      <c r="I18" s="18" t="s">
        <v>183</v>
      </c>
      <c r="J18" s="18" t="s">
        <v>184</v>
      </c>
      <c r="K18" s="18" t="s">
        <v>185</v>
      </c>
      <c r="L18" s="19">
        <v>77027</v>
      </c>
    </row>
    <row r="19" spans="1:12" ht="18" customHeight="1">
      <c r="A19" s="16" t="s">
        <v>186</v>
      </c>
      <c r="B19" s="17" t="s">
        <v>187</v>
      </c>
      <c r="C19" s="18" t="s">
        <v>56</v>
      </c>
      <c r="D19" s="18" t="s">
        <v>188</v>
      </c>
      <c r="E19" s="18" t="s">
        <v>189</v>
      </c>
      <c r="F19" s="18" t="s">
        <v>59</v>
      </c>
      <c r="G19" s="18" t="s">
        <v>60</v>
      </c>
      <c r="H19" s="18" t="s">
        <v>190</v>
      </c>
      <c r="I19" s="18" t="s">
        <v>191</v>
      </c>
      <c r="J19" s="18" t="s">
        <v>192</v>
      </c>
      <c r="K19" s="18" t="s">
        <v>190</v>
      </c>
      <c r="L19" s="19">
        <v>78384</v>
      </c>
    </row>
    <row r="20" spans="1:12" ht="18" customHeight="1">
      <c r="A20" s="16" t="s">
        <v>193</v>
      </c>
      <c r="B20" s="17" t="s">
        <v>194</v>
      </c>
      <c r="C20" s="18" t="s">
        <v>56</v>
      </c>
      <c r="D20" s="18" t="s">
        <v>195</v>
      </c>
      <c r="E20" s="18" t="s">
        <v>196</v>
      </c>
      <c r="F20" s="18" t="s">
        <v>59</v>
      </c>
      <c r="G20" s="18" t="s">
        <v>60</v>
      </c>
      <c r="H20" s="18" t="s">
        <v>197</v>
      </c>
      <c r="I20" s="18" t="s">
        <v>198</v>
      </c>
      <c r="J20" s="18" t="s">
        <v>199</v>
      </c>
      <c r="K20" s="18" t="s">
        <v>200</v>
      </c>
      <c r="L20" s="19">
        <v>83180</v>
      </c>
    </row>
    <row r="21" spans="1:12" ht="18" customHeight="1">
      <c r="A21" s="16" t="s">
        <v>201</v>
      </c>
      <c r="B21" s="17" t="s">
        <v>202</v>
      </c>
      <c r="C21" s="18" t="s">
        <v>56</v>
      </c>
      <c r="D21" s="18" t="s">
        <v>203</v>
      </c>
      <c r="E21" s="18" t="s">
        <v>204</v>
      </c>
      <c r="F21" s="18" t="s">
        <v>59</v>
      </c>
      <c r="G21" s="18" t="s">
        <v>60</v>
      </c>
      <c r="H21" s="18" t="s">
        <v>205</v>
      </c>
      <c r="I21" s="18" t="s">
        <v>206</v>
      </c>
      <c r="J21" s="18" t="s">
        <v>207</v>
      </c>
      <c r="K21" s="18" t="s">
        <v>208</v>
      </c>
      <c r="L21" s="19">
        <v>86010</v>
      </c>
    </row>
    <row r="22" spans="1:12" ht="18" customHeight="1">
      <c r="A22" s="16" t="s">
        <v>209</v>
      </c>
      <c r="B22" s="17" t="s">
        <v>210</v>
      </c>
      <c r="C22" s="18" t="s">
        <v>56</v>
      </c>
      <c r="D22" s="18" t="s">
        <v>211</v>
      </c>
      <c r="E22" s="18" t="s">
        <v>212</v>
      </c>
      <c r="F22" s="18" t="s">
        <v>59</v>
      </c>
      <c r="G22" s="18" t="s">
        <v>60</v>
      </c>
      <c r="H22" s="18" t="s">
        <v>213</v>
      </c>
      <c r="I22" s="18" t="s">
        <v>214</v>
      </c>
      <c r="J22" s="18" t="s">
        <v>215</v>
      </c>
      <c r="K22" s="18" t="s">
        <v>216</v>
      </c>
      <c r="L22" s="19">
        <v>87070</v>
      </c>
    </row>
    <row r="23" spans="1:12" ht="18" customHeight="1">
      <c r="A23" s="16" t="s">
        <v>217</v>
      </c>
      <c r="B23" s="17" t="s">
        <v>218</v>
      </c>
      <c r="C23" s="18" t="s">
        <v>56</v>
      </c>
      <c r="D23" s="18" t="s">
        <v>219</v>
      </c>
      <c r="E23" s="18" t="s">
        <v>220</v>
      </c>
      <c r="F23" s="18" t="s">
        <v>59</v>
      </c>
      <c r="G23" s="18" t="s">
        <v>60</v>
      </c>
      <c r="H23" s="18" t="s">
        <v>221</v>
      </c>
      <c r="I23" s="18" t="s">
        <v>222</v>
      </c>
      <c r="J23" s="18" t="s">
        <v>223</v>
      </c>
      <c r="K23" s="18" t="s">
        <v>221</v>
      </c>
      <c r="L23" s="19">
        <v>90000</v>
      </c>
    </row>
    <row r="24" spans="1:12" ht="18" customHeight="1">
      <c r="A24" s="16" t="s">
        <v>224</v>
      </c>
      <c r="B24" s="17" t="s">
        <v>225</v>
      </c>
      <c r="C24" s="18" t="s">
        <v>56</v>
      </c>
      <c r="D24" s="18" t="s">
        <v>226</v>
      </c>
      <c r="E24" s="18" t="s">
        <v>227</v>
      </c>
      <c r="F24" s="18" t="s">
        <v>59</v>
      </c>
      <c r="G24" s="18" t="s">
        <v>60</v>
      </c>
      <c r="H24" s="18" t="s">
        <v>228</v>
      </c>
      <c r="I24" s="18" t="s">
        <v>229</v>
      </c>
      <c r="J24" s="18" t="s">
        <v>230</v>
      </c>
      <c r="K24" s="18" t="s">
        <v>228</v>
      </c>
      <c r="L24" s="19">
        <v>98604</v>
      </c>
    </row>
    <row r="25" spans="1:12" ht="18" customHeight="1">
      <c r="A25" s="16" t="s">
        <v>231</v>
      </c>
      <c r="B25" s="17" t="s">
        <v>232</v>
      </c>
      <c r="C25" s="18" t="s">
        <v>233</v>
      </c>
      <c r="D25" s="18" t="s">
        <v>234</v>
      </c>
      <c r="E25" s="18" t="s">
        <v>235</v>
      </c>
      <c r="F25" s="18" t="s">
        <v>236</v>
      </c>
      <c r="G25" s="18" t="s">
        <v>237</v>
      </c>
      <c r="H25" s="18" t="s">
        <v>144</v>
      </c>
      <c r="I25" s="18" t="s">
        <v>238</v>
      </c>
      <c r="J25" s="18" t="s">
        <v>239</v>
      </c>
      <c r="K25" s="18" t="s">
        <v>147</v>
      </c>
      <c r="L25" s="19">
        <v>97314</v>
      </c>
    </row>
    <row r="26" spans="1:12" ht="18" customHeight="1">
      <c r="A26" s="16" t="s">
        <v>240</v>
      </c>
      <c r="B26" s="17" t="s">
        <v>241</v>
      </c>
      <c r="C26" s="18" t="s">
        <v>242</v>
      </c>
      <c r="D26" s="18" t="s">
        <v>243</v>
      </c>
      <c r="E26" s="18" t="s">
        <v>244</v>
      </c>
      <c r="F26" s="18" t="s">
        <v>236</v>
      </c>
      <c r="G26" s="18" t="s">
        <v>237</v>
      </c>
      <c r="H26" s="18" t="s">
        <v>152</v>
      </c>
      <c r="I26" s="18" t="s">
        <v>245</v>
      </c>
      <c r="J26" s="18" t="s">
        <v>246</v>
      </c>
      <c r="K26" s="18" t="s">
        <v>247</v>
      </c>
      <c r="L26" s="19">
        <v>63506</v>
      </c>
    </row>
    <row r="27" spans="1:12" ht="18" customHeight="1">
      <c r="A27" s="16" t="s">
        <v>248</v>
      </c>
      <c r="B27" s="17" t="s">
        <v>249</v>
      </c>
      <c r="C27" s="18" t="s">
        <v>250</v>
      </c>
      <c r="D27" s="18" t="s">
        <v>251</v>
      </c>
      <c r="E27" s="18" t="s">
        <v>252</v>
      </c>
      <c r="F27" s="18" t="s">
        <v>236</v>
      </c>
      <c r="G27" s="18" t="s">
        <v>237</v>
      </c>
      <c r="H27" s="18" t="s">
        <v>253</v>
      </c>
      <c r="I27" s="18" t="s">
        <v>254</v>
      </c>
      <c r="J27" s="18" t="s">
        <v>255</v>
      </c>
      <c r="K27" s="18" t="s">
        <v>256</v>
      </c>
      <c r="L27" s="19">
        <v>13278</v>
      </c>
    </row>
    <row r="28" spans="1:12" ht="18" customHeight="1">
      <c r="A28" s="16" t="s">
        <v>262</v>
      </c>
      <c r="B28" s="17"/>
      <c r="C28" s="18" t="s">
        <v>56</v>
      </c>
      <c r="D28" s="18"/>
      <c r="E28" s="18" t="s">
        <v>263</v>
      </c>
      <c r="F28" s="18"/>
      <c r="G28" s="18" t="s">
        <v>60</v>
      </c>
      <c r="H28" s="18" t="s">
        <v>253</v>
      </c>
      <c r="I28" s="18" t="s">
        <v>264</v>
      </c>
      <c r="J28" s="18"/>
      <c r="K28" s="18"/>
      <c r="L28" s="19"/>
    </row>
    <row r="29" spans="1:12" ht="18" customHeight="1">
      <c r="A29" s="16" t="s">
        <v>265</v>
      </c>
      <c r="B29" s="17"/>
      <c r="C29" s="18" t="s">
        <v>56</v>
      </c>
      <c r="D29" s="18"/>
      <c r="E29" s="18" t="s">
        <v>266</v>
      </c>
      <c r="F29" s="18"/>
      <c r="G29" s="18" t="s">
        <v>60</v>
      </c>
      <c r="H29" s="18" t="s">
        <v>253</v>
      </c>
      <c r="I29" s="18" t="s">
        <v>267</v>
      </c>
      <c r="J29" s="18"/>
      <c r="K29" s="18"/>
      <c r="L29" s="19"/>
    </row>
    <row r="30" spans="1:12" ht="18" customHeight="1">
      <c r="A30" s="16" t="s">
        <v>268</v>
      </c>
      <c r="B30" s="17" t="s">
        <v>269</v>
      </c>
      <c r="C30" s="18" t="s">
        <v>56</v>
      </c>
      <c r="D30" s="18" t="s">
        <v>270</v>
      </c>
      <c r="E30" s="18" t="s">
        <v>271</v>
      </c>
      <c r="F30" s="18" t="s">
        <v>272</v>
      </c>
      <c r="G30" s="18" t="s">
        <v>60</v>
      </c>
      <c r="H30" s="18" t="s">
        <v>99</v>
      </c>
      <c r="I30" s="18" t="s">
        <v>273</v>
      </c>
      <c r="J30" s="18" t="s">
        <v>274</v>
      </c>
      <c r="K30" s="18" t="s">
        <v>99</v>
      </c>
      <c r="L30" s="19">
        <v>31290</v>
      </c>
    </row>
    <row r="31" spans="1:12" ht="18" customHeight="1">
      <c r="A31" s="16" t="s">
        <v>275</v>
      </c>
      <c r="B31" s="17" t="s">
        <v>276</v>
      </c>
      <c r="C31" s="18" t="s">
        <v>56</v>
      </c>
      <c r="D31" s="18" t="s">
        <v>277</v>
      </c>
      <c r="E31" s="18" t="s">
        <v>278</v>
      </c>
      <c r="F31" s="18" t="s">
        <v>272</v>
      </c>
      <c r="G31" s="18" t="s">
        <v>60</v>
      </c>
      <c r="H31" s="18" t="s">
        <v>253</v>
      </c>
      <c r="I31" s="18" t="s">
        <v>279</v>
      </c>
      <c r="J31" s="18" t="s">
        <v>280</v>
      </c>
      <c r="K31" s="18" t="s">
        <v>281</v>
      </c>
      <c r="L31" s="19" t="s">
        <v>282</v>
      </c>
    </row>
    <row r="32" spans="1:12" ht="18" customHeight="1">
      <c r="A32" s="16" t="s">
        <v>283</v>
      </c>
      <c r="B32" s="17" t="s">
        <v>284</v>
      </c>
      <c r="C32" s="18" t="s">
        <v>56</v>
      </c>
      <c r="D32" s="18" t="s">
        <v>285</v>
      </c>
      <c r="E32" s="18" t="s">
        <v>286</v>
      </c>
      <c r="F32" s="18" t="s">
        <v>272</v>
      </c>
      <c r="G32" s="18" t="s">
        <v>60</v>
      </c>
      <c r="H32" s="18" t="s">
        <v>106</v>
      </c>
      <c r="I32" s="18" t="s">
        <v>287</v>
      </c>
      <c r="J32" s="18" t="s">
        <v>288</v>
      </c>
      <c r="K32" s="18" t="s">
        <v>289</v>
      </c>
      <c r="L32" s="19">
        <v>27140</v>
      </c>
    </row>
    <row r="33" spans="1:12" ht="18" customHeight="1">
      <c r="A33" s="16" t="s">
        <v>290</v>
      </c>
      <c r="B33" s="17" t="s">
        <v>291</v>
      </c>
      <c r="C33" s="18" t="s">
        <v>56</v>
      </c>
      <c r="D33" s="18" t="s">
        <v>292</v>
      </c>
      <c r="E33" s="18" t="s">
        <v>293</v>
      </c>
      <c r="F33" s="18" t="s">
        <v>272</v>
      </c>
      <c r="G33" s="18" t="s">
        <v>60</v>
      </c>
      <c r="H33" s="18" t="s">
        <v>294</v>
      </c>
      <c r="I33" s="18" t="s">
        <v>295</v>
      </c>
      <c r="J33" s="18" t="s">
        <v>296</v>
      </c>
      <c r="K33" s="18" t="s">
        <v>297</v>
      </c>
      <c r="L33" s="19">
        <v>56100</v>
      </c>
    </row>
    <row r="34" spans="1:12" ht="18" customHeight="1">
      <c r="A34" s="16" t="s">
        <v>298</v>
      </c>
      <c r="B34" s="17" t="s">
        <v>299</v>
      </c>
      <c r="C34" s="18" t="s">
        <v>56</v>
      </c>
      <c r="D34" s="18" t="s">
        <v>300</v>
      </c>
      <c r="E34" s="18" t="s">
        <v>301</v>
      </c>
      <c r="F34" s="18" t="s">
        <v>272</v>
      </c>
      <c r="G34" s="18" t="s">
        <v>60</v>
      </c>
      <c r="H34" s="18" t="s">
        <v>294</v>
      </c>
      <c r="I34" s="18" t="s">
        <v>302</v>
      </c>
      <c r="J34" s="18" t="s">
        <v>303</v>
      </c>
      <c r="K34" s="18" t="s">
        <v>304</v>
      </c>
      <c r="L34" s="19">
        <v>55400</v>
      </c>
    </row>
    <row r="35" spans="1:12" ht="18" customHeight="1">
      <c r="A35" s="16" t="s">
        <v>305</v>
      </c>
      <c r="B35" s="17" t="s">
        <v>306</v>
      </c>
      <c r="C35" s="18" t="s">
        <v>56</v>
      </c>
      <c r="D35" s="18" t="s">
        <v>307</v>
      </c>
      <c r="E35" s="18" t="s">
        <v>308</v>
      </c>
      <c r="F35" s="18" t="s">
        <v>272</v>
      </c>
      <c r="G35" s="18" t="s">
        <v>60</v>
      </c>
      <c r="H35" s="18" t="s">
        <v>128</v>
      </c>
      <c r="I35" s="18" t="s">
        <v>309</v>
      </c>
      <c r="J35" s="18" t="s">
        <v>310</v>
      </c>
      <c r="K35" s="18" t="s">
        <v>131</v>
      </c>
      <c r="L35" s="19">
        <v>38020</v>
      </c>
    </row>
    <row r="36" spans="1:12" ht="18" customHeight="1">
      <c r="A36" s="16" t="s">
        <v>311</v>
      </c>
      <c r="B36" s="17" t="s">
        <v>312</v>
      </c>
      <c r="C36" s="18" t="s">
        <v>56</v>
      </c>
      <c r="D36" s="18" t="s">
        <v>313</v>
      </c>
      <c r="E36" s="18" t="s">
        <v>314</v>
      </c>
      <c r="F36" s="18" t="s">
        <v>272</v>
      </c>
      <c r="G36" s="18" t="s">
        <v>60</v>
      </c>
      <c r="H36" s="18" t="s">
        <v>190</v>
      </c>
      <c r="I36" s="18" t="s">
        <v>315</v>
      </c>
      <c r="J36" s="18" t="s">
        <v>316</v>
      </c>
      <c r="K36" s="18" t="s">
        <v>317</v>
      </c>
      <c r="L36" s="19">
        <v>79040</v>
      </c>
    </row>
    <row r="37" spans="1:12" ht="18" customHeight="1">
      <c r="A37" s="16" t="s">
        <v>318</v>
      </c>
      <c r="B37" s="17" t="s">
        <v>319</v>
      </c>
      <c r="C37" s="18" t="s">
        <v>56</v>
      </c>
      <c r="D37" s="18" t="s">
        <v>320</v>
      </c>
      <c r="E37" s="18" t="s">
        <v>321</v>
      </c>
      <c r="F37" s="18" t="s">
        <v>272</v>
      </c>
      <c r="G37" s="18" t="s">
        <v>60</v>
      </c>
      <c r="H37" s="18" t="s">
        <v>168</v>
      </c>
      <c r="I37" s="18" t="s">
        <v>322</v>
      </c>
      <c r="J37" s="18" t="s">
        <v>323</v>
      </c>
      <c r="K37" s="18" t="s">
        <v>168</v>
      </c>
      <c r="L37" s="19">
        <v>72590</v>
      </c>
    </row>
    <row r="38" spans="1:12" ht="18" customHeight="1">
      <c r="A38" s="16" t="s">
        <v>324</v>
      </c>
      <c r="B38" s="17" t="s">
        <v>325</v>
      </c>
      <c r="C38" s="18" t="s">
        <v>56</v>
      </c>
      <c r="D38" s="18" t="s">
        <v>326</v>
      </c>
      <c r="E38" s="18" t="s">
        <v>327</v>
      </c>
      <c r="F38" s="18" t="s">
        <v>272</v>
      </c>
      <c r="G38" s="18" t="s">
        <v>60</v>
      </c>
      <c r="H38" s="18" t="s">
        <v>253</v>
      </c>
      <c r="I38" s="18" t="s">
        <v>328</v>
      </c>
      <c r="J38" s="18" t="s">
        <v>329</v>
      </c>
      <c r="K38" s="18" t="s">
        <v>330</v>
      </c>
      <c r="L38" s="19" t="s">
        <v>331</v>
      </c>
    </row>
    <row r="39" spans="1:12" ht="18" customHeight="1">
      <c r="A39" s="16" t="s">
        <v>332</v>
      </c>
      <c r="B39" s="17" t="s">
        <v>333</v>
      </c>
      <c r="C39" s="18" t="s">
        <v>56</v>
      </c>
      <c r="D39" s="18" t="s">
        <v>334</v>
      </c>
      <c r="E39" s="18" t="s">
        <v>335</v>
      </c>
      <c r="F39" s="18" t="s">
        <v>272</v>
      </c>
      <c r="G39" s="18" t="s">
        <v>60</v>
      </c>
      <c r="H39" s="18" t="s">
        <v>253</v>
      </c>
      <c r="I39" s="18" t="s">
        <v>336</v>
      </c>
      <c r="J39" s="18" t="s">
        <v>337</v>
      </c>
      <c r="K39" s="18" t="s">
        <v>338</v>
      </c>
      <c r="L39" s="19" t="s">
        <v>339</v>
      </c>
    </row>
    <row r="40" spans="1:12" ht="18" customHeight="1">
      <c r="A40" s="16" t="s">
        <v>340</v>
      </c>
      <c r="B40" s="17" t="s">
        <v>341</v>
      </c>
      <c r="C40" s="18" t="s">
        <v>56</v>
      </c>
      <c r="D40" s="18" t="s">
        <v>342</v>
      </c>
      <c r="E40" s="18" t="s">
        <v>343</v>
      </c>
      <c r="F40" s="18" t="s">
        <v>272</v>
      </c>
      <c r="G40" s="18" t="s">
        <v>60</v>
      </c>
      <c r="H40" s="18" t="s">
        <v>144</v>
      </c>
      <c r="I40" s="18" t="s">
        <v>344</v>
      </c>
      <c r="J40" s="18" t="s">
        <v>345</v>
      </c>
      <c r="K40" s="18" t="s">
        <v>147</v>
      </c>
      <c r="L40" s="19">
        <v>97219</v>
      </c>
    </row>
    <row r="41" spans="1:12" ht="18" customHeight="1">
      <c r="A41" s="16" t="s">
        <v>346</v>
      </c>
      <c r="B41" s="17" t="s">
        <v>347</v>
      </c>
      <c r="C41" s="18" t="s">
        <v>56</v>
      </c>
      <c r="D41" s="18" t="s">
        <v>348</v>
      </c>
      <c r="E41" s="18" t="s">
        <v>349</v>
      </c>
      <c r="F41" s="18" t="s">
        <v>350</v>
      </c>
      <c r="G41" s="18" t="s">
        <v>60</v>
      </c>
      <c r="H41" s="18" t="s">
        <v>351</v>
      </c>
      <c r="I41" s="18" t="s">
        <v>352</v>
      </c>
      <c r="J41" s="18" t="s">
        <v>353</v>
      </c>
      <c r="K41" s="18" t="s">
        <v>163</v>
      </c>
      <c r="L41" s="19">
        <v>62910</v>
      </c>
    </row>
    <row r="42" spans="1:12" ht="18" customHeight="1">
      <c r="A42" s="16" t="s">
        <v>354</v>
      </c>
      <c r="B42" s="17" t="s">
        <v>355</v>
      </c>
      <c r="C42" s="18" t="s">
        <v>56</v>
      </c>
      <c r="D42" s="18" t="s">
        <v>356</v>
      </c>
      <c r="E42" s="18" t="s">
        <v>357</v>
      </c>
      <c r="F42" s="18" t="s">
        <v>358</v>
      </c>
      <c r="G42" s="18" t="s">
        <v>60</v>
      </c>
      <c r="H42" s="18" t="s">
        <v>213</v>
      </c>
      <c r="I42" s="18" t="s">
        <v>359</v>
      </c>
      <c r="J42" s="18" t="s">
        <v>360</v>
      </c>
      <c r="K42" s="18" t="s">
        <v>216</v>
      </c>
      <c r="L42" s="19">
        <v>87078</v>
      </c>
    </row>
    <row r="43" spans="1:12" ht="18" customHeight="1">
      <c r="A43" s="16" t="s">
        <v>361</v>
      </c>
      <c r="B43" s="17" t="s">
        <v>362</v>
      </c>
      <c r="C43" s="18" t="s">
        <v>56</v>
      </c>
      <c r="D43" s="18" t="s">
        <v>363</v>
      </c>
      <c r="E43" s="18" t="s">
        <v>364</v>
      </c>
      <c r="F43" s="18" t="s">
        <v>358</v>
      </c>
      <c r="G43" s="18" t="s">
        <v>60</v>
      </c>
      <c r="H43" s="18" t="s">
        <v>144</v>
      </c>
      <c r="I43" s="18" t="s">
        <v>365</v>
      </c>
      <c r="J43" s="18" t="s">
        <v>366</v>
      </c>
      <c r="K43" s="18" t="s">
        <v>147</v>
      </c>
      <c r="L43" s="19">
        <v>97217</v>
      </c>
    </row>
    <row r="44" spans="1:12" ht="18" customHeight="1">
      <c r="A44" s="16" t="s">
        <v>367</v>
      </c>
      <c r="B44" s="17"/>
      <c r="C44" s="18" t="s">
        <v>56</v>
      </c>
      <c r="D44" s="18" t="s">
        <v>368</v>
      </c>
      <c r="E44" s="18" t="s">
        <v>369</v>
      </c>
      <c r="F44" s="18"/>
      <c r="G44" s="18" t="s">
        <v>60</v>
      </c>
      <c r="H44" s="18" t="s">
        <v>253</v>
      </c>
      <c r="I44" s="18" t="s">
        <v>370</v>
      </c>
      <c r="J44" s="18" t="s">
        <v>371</v>
      </c>
      <c r="K44" s="18" t="s">
        <v>281</v>
      </c>
      <c r="L44" s="19" t="s">
        <v>372</v>
      </c>
    </row>
    <row r="45" spans="1:12" ht="18" customHeight="1">
      <c r="A45" s="16" t="s">
        <v>373</v>
      </c>
      <c r="B45" s="17" t="s">
        <v>374</v>
      </c>
      <c r="C45" s="18" t="s">
        <v>375</v>
      </c>
      <c r="D45" s="18" t="s">
        <v>376</v>
      </c>
      <c r="E45" s="18" t="s">
        <v>377</v>
      </c>
      <c r="F45" s="18" t="s">
        <v>378</v>
      </c>
      <c r="G45" s="18" t="s">
        <v>237</v>
      </c>
      <c r="H45" s="18" t="s">
        <v>168</v>
      </c>
      <c r="I45" s="18" t="s">
        <v>379</v>
      </c>
      <c r="J45" s="18" t="s">
        <v>380</v>
      </c>
      <c r="K45" s="18" t="s">
        <v>381</v>
      </c>
      <c r="L45" s="19">
        <v>75150</v>
      </c>
    </row>
    <row r="46" spans="1:12" ht="18" customHeight="1">
      <c r="A46" s="16" t="s">
        <v>382</v>
      </c>
      <c r="B46" s="17" t="s">
        <v>383</v>
      </c>
      <c r="C46" s="18" t="s">
        <v>384</v>
      </c>
      <c r="D46" s="18" t="s">
        <v>385</v>
      </c>
      <c r="E46" s="18" t="s">
        <v>386</v>
      </c>
      <c r="F46" s="18" t="s">
        <v>378</v>
      </c>
      <c r="G46" s="18" t="s">
        <v>237</v>
      </c>
      <c r="H46" s="18" t="s">
        <v>160</v>
      </c>
      <c r="I46" s="18" t="s">
        <v>387</v>
      </c>
      <c r="J46" s="18" t="s">
        <v>388</v>
      </c>
      <c r="K46" s="18" t="s">
        <v>389</v>
      </c>
      <c r="L46" s="19">
        <v>67940</v>
      </c>
    </row>
    <row r="47" spans="1:12" ht="18" customHeight="1">
      <c r="A47" s="16" t="s">
        <v>390</v>
      </c>
      <c r="B47" s="17" t="s">
        <v>391</v>
      </c>
      <c r="C47" s="18" t="s">
        <v>392</v>
      </c>
      <c r="D47" s="18" t="s">
        <v>393</v>
      </c>
      <c r="E47" s="18" t="s">
        <v>394</v>
      </c>
      <c r="F47" s="18" t="s">
        <v>378</v>
      </c>
      <c r="G47" s="18" t="s">
        <v>237</v>
      </c>
      <c r="H47" s="18" t="s">
        <v>351</v>
      </c>
      <c r="I47" s="18" t="s">
        <v>395</v>
      </c>
      <c r="J47" s="18" t="s">
        <v>396</v>
      </c>
      <c r="K47" s="18" t="s">
        <v>397</v>
      </c>
      <c r="L47" s="19">
        <v>62840</v>
      </c>
    </row>
    <row r="48" spans="1:12" ht="18" customHeight="1">
      <c r="A48" s="16" t="s">
        <v>398</v>
      </c>
      <c r="B48" s="17" t="s">
        <v>399</v>
      </c>
      <c r="C48" s="18" t="s">
        <v>400</v>
      </c>
      <c r="D48" s="18" t="s">
        <v>401</v>
      </c>
      <c r="E48" s="18" t="s">
        <v>402</v>
      </c>
      <c r="F48" s="18" t="s">
        <v>378</v>
      </c>
      <c r="G48" s="18" t="s">
        <v>237</v>
      </c>
      <c r="H48" s="18" t="s">
        <v>351</v>
      </c>
      <c r="I48" s="18" t="s">
        <v>403</v>
      </c>
      <c r="J48" s="18" t="s">
        <v>404</v>
      </c>
      <c r="K48" s="18" t="s">
        <v>405</v>
      </c>
      <c r="L48" s="19">
        <v>62950</v>
      </c>
    </row>
    <row r="49" spans="1:12" ht="18" customHeight="1">
      <c r="A49" s="16" t="s">
        <v>406</v>
      </c>
      <c r="B49" s="17" t="s">
        <v>407</v>
      </c>
      <c r="C49" s="18" t="s">
        <v>408</v>
      </c>
      <c r="D49" s="18" t="s">
        <v>409</v>
      </c>
      <c r="E49" s="18" t="s">
        <v>410</v>
      </c>
      <c r="F49" s="18" t="s">
        <v>378</v>
      </c>
      <c r="G49" s="18" t="s">
        <v>237</v>
      </c>
      <c r="H49" s="18" t="s">
        <v>182</v>
      </c>
      <c r="I49" s="18" t="s">
        <v>411</v>
      </c>
      <c r="J49" s="18" t="s">
        <v>412</v>
      </c>
      <c r="K49" s="18" t="s">
        <v>413</v>
      </c>
      <c r="L49" s="19">
        <v>77930</v>
      </c>
    </row>
    <row r="50" spans="1:12" ht="18" customHeight="1">
      <c r="A50" s="16" t="s">
        <v>414</v>
      </c>
      <c r="B50" s="17" t="s">
        <v>415</v>
      </c>
      <c r="C50" s="18" t="s">
        <v>416</v>
      </c>
      <c r="D50" s="18" t="s">
        <v>417</v>
      </c>
      <c r="E50" s="18" t="s">
        <v>418</v>
      </c>
      <c r="F50" s="18" t="s">
        <v>378</v>
      </c>
      <c r="G50" s="18" t="s">
        <v>237</v>
      </c>
      <c r="H50" s="18" t="s">
        <v>351</v>
      </c>
      <c r="I50" s="18" t="s">
        <v>419</v>
      </c>
      <c r="J50" s="18" t="s">
        <v>420</v>
      </c>
      <c r="K50" s="18" t="s">
        <v>421</v>
      </c>
      <c r="L50" s="19">
        <v>62700</v>
      </c>
    </row>
    <row r="51" spans="1:12" ht="20.100000000000001" customHeight="1">
      <c r="A51" s="16" t="s">
        <v>422</v>
      </c>
      <c r="B51" s="17" t="s">
        <v>423</v>
      </c>
      <c r="C51" s="18" t="s">
        <v>424</v>
      </c>
      <c r="D51" s="18" t="s">
        <v>425</v>
      </c>
      <c r="E51" s="18" t="s">
        <v>426</v>
      </c>
      <c r="F51" s="18" t="s">
        <v>378</v>
      </c>
      <c r="G51" s="18" t="s">
        <v>237</v>
      </c>
      <c r="H51" s="18" t="s">
        <v>228</v>
      </c>
      <c r="I51" s="18" t="s">
        <v>427</v>
      </c>
      <c r="J51" s="18" t="s">
        <v>428</v>
      </c>
      <c r="K51" s="18" t="s">
        <v>281</v>
      </c>
      <c r="L51" s="19">
        <v>98613</v>
      </c>
    </row>
    <row r="52" spans="1:12" ht="18" customHeight="1">
      <c r="A52" s="16" t="s">
        <v>429</v>
      </c>
      <c r="B52" s="17" t="s">
        <v>430</v>
      </c>
      <c r="C52" s="18" t="s">
        <v>431</v>
      </c>
      <c r="D52" s="18" t="s">
        <v>432</v>
      </c>
      <c r="E52" s="18" t="s">
        <v>433</v>
      </c>
      <c r="F52" s="18" t="s">
        <v>378</v>
      </c>
      <c r="G52" s="18" t="s">
        <v>237</v>
      </c>
      <c r="H52" s="18" t="s">
        <v>213</v>
      </c>
      <c r="I52" s="18" t="s">
        <v>434</v>
      </c>
      <c r="J52" s="18" t="s">
        <v>435</v>
      </c>
      <c r="K52" s="18" t="s">
        <v>436</v>
      </c>
      <c r="L52" s="19">
        <v>88390</v>
      </c>
    </row>
    <row r="53" spans="1:12" ht="18" customHeight="1">
      <c r="A53" s="16" t="s">
        <v>437</v>
      </c>
      <c r="B53" s="17" t="s">
        <v>438</v>
      </c>
      <c r="C53" s="18" t="s">
        <v>439</v>
      </c>
      <c r="D53" s="18" t="s">
        <v>440</v>
      </c>
      <c r="E53" s="18" t="s">
        <v>441</v>
      </c>
      <c r="F53" s="18" t="s">
        <v>378</v>
      </c>
      <c r="G53" s="18" t="s">
        <v>237</v>
      </c>
      <c r="H53" s="18" t="s">
        <v>136</v>
      </c>
      <c r="I53" s="18" t="s">
        <v>442</v>
      </c>
      <c r="J53" s="18" t="s">
        <v>443</v>
      </c>
      <c r="K53" s="18" t="s">
        <v>139</v>
      </c>
      <c r="L53" s="19">
        <v>39700</v>
      </c>
    </row>
    <row r="54" spans="1:12" ht="18" customHeight="1">
      <c r="A54" s="16" t="s">
        <v>444</v>
      </c>
      <c r="B54" s="17" t="s">
        <v>445</v>
      </c>
      <c r="C54" s="18" t="s">
        <v>446</v>
      </c>
      <c r="D54" s="18" t="s">
        <v>447</v>
      </c>
      <c r="E54" s="18" t="s">
        <v>448</v>
      </c>
      <c r="F54" s="18" t="s">
        <v>378</v>
      </c>
      <c r="G54" s="18" t="s">
        <v>237</v>
      </c>
      <c r="H54" s="18" t="s">
        <v>168</v>
      </c>
      <c r="I54" s="18" t="s">
        <v>449</v>
      </c>
      <c r="J54" s="18" t="s">
        <v>450</v>
      </c>
      <c r="K54" s="18" t="s">
        <v>451</v>
      </c>
      <c r="L54" s="19">
        <v>72070</v>
      </c>
    </row>
    <row r="55" spans="1:12" ht="18" customHeight="1">
      <c r="A55" s="16" t="s">
        <v>452</v>
      </c>
      <c r="B55" s="17" t="s">
        <v>453</v>
      </c>
      <c r="C55" s="18" t="s">
        <v>454</v>
      </c>
      <c r="D55" s="18" t="s">
        <v>455</v>
      </c>
      <c r="E55" s="18" t="s">
        <v>456</v>
      </c>
      <c r="F55" s="18" t="s">
        <v>378</v>
      </c>
      <c r="G55" s="18" t="s">
        <v>237</v>
      </c>
      <c r="H55" s="18" t="s">
        <v>213</v>
      </c>
      <c r="I55" s="18" t="s">
        <v>457</v>
      </c>
      <c r="J55" s="18" t="s">
        <v>458</v>
      </c>
      <c r="K55" s="18" t="s">
        <v>459</v>
      </c>
      <c r="L55" s="19">
        <v>87555</v>
      </c>
    </row>
    <row r="56" spans="1:12" ht="18" customHeight="1">
      <c r="A56" s="16" t="s">
        <v>460</v>
      </c>
      <c r="B56" s="17" t="s">
        <v>461</v>
      </c>
      <c r="C56" s="18" t="s">
        <v>462</v>
      </c>
      <c r="D56" s="18" t="s">
        <v>463</v>
      </c>
      <c r="E56" s="18" t="s">
        <v>464</v>
      </c>
      <c r="F56" s="18" t="s">
        <v>378</v>
      </c>
      <c r="G56" s="18" t="s">
        <v>237</v>
      </c>
      <c r="H56" s="18" t="s">
        <v>61</v>
      </c>
      <c r="I56" s="18" t="s">
        <v>465</v>
      </c>
      <c r="J56" s="18" t="s">
        <v>466</v>
      </c>
      <c r="K56" s="18" t="s">
        <v>467</v>
      </c>
      <c r="L56" s="19">
        <v>20460</v>
      </c>
    </row>
    <row r="57" spans="1:12" ht="18" customHeight="1">
      <c r="A57" s="16" t="s">
        <v>468</v>
      </c>
      <c r="B57" s="17" t="s">
        <v>423</v>
      </c>
      <c r="C57" s="18" t="s">
        <v>469</v>
      </c>
      <c r="D57" s="18" t="s">
        <v>470</v>
      </c>
      <c r="E57" s="18" t="s">
        <v>471</v>
      </c>
      <c r="F57" s="18" t="s">
        <v>378</v>
      </c>
      <c r="G57" s="18" t="s">
        <v>237</v>
      </c>
      <c r="H57" s="18" t="s">
        <v>136</v>
      </c>
      <c r="I57" s="18" t="s">
        <v>472</v>
      </c>
      <c r="J57" s="18" t="s">
        <v>473</v>
      </c>
      <c r="K57" s="18" t="s">
        <v>474</v>
      </c>
      <c r="L57" s="19"/>
    </row>
    <row r="58" spans="1:12" ht="18" customHeight="1">
      <c r="A58" s="16" t="s">
        <v>475</v>
      </c>
      <c r="B58" s="17" t="s">
        <v>476</v>
      </c>
      <c r="C58" s="18" t="s">
        <v>477</v>
      </c>
      <c r="D58" s="18" t="s">
        <v>478</v>
      </c>
      <c r="E58" s="18" t="s">
        <v>479</v>
      </c>
      <c r="F58" s="18" t="s">
        <v>378</v>
      </c>
      <c r="G58" s="18" t="s">
        <v>237</v>
      </c>
      <c r="H58" s="18" t="s">
        <v>253</v>
      </c>
      <c r="I58" s="18" t="s">
        <v>480</v>
      </c>
      <c r="J58" s="18" t="s">
        <v>481</v>
      </c>
      <c r="K58" s="18" t="s">
        <v>482</v>
      </c>
      <c r="L58" s="19" t="s">
        <v>483</v>
      </c>
    </row>
    <row r="59" spans="1:12" ht="18" customHeight="1">
      <c r="A59" s="16" t="s">
        <v>484</v>
      </c>
      <c r="B59" s="17" t="s">
        <v>423</v>
      </c>
      <c r="C59" s="18" t="s">
        <v>485</v>
      </c>
      <c r="D59" s="18" t="s">
        <v>486</v>
      </c>
      <c r="E59" s="18" t="s">
        <v>487</v>
      </c>
      <c r="F59" s="18" t="s">
        <v>378</v>
      </c>
      <c r="G59" s="18" t="s">
        <v>237</v>
      </c>
      <c r="H59" s="18" t="s">
        <v>136</v>
      </c>
      <c r="I59" s="18" t="s">
        <v>488</v>
      </c>
      <c r="J59" s="18" t="s">
        <v>489</v>
      </c>
      <c r="K59" s="18" t="s">
        <v>490</v>
      </c>
      <c r="L59" s="19"/>
    </row>
    <row r="60" spans="1:12" ht="18" customHeight="1">
      <c r="A60" s="16" t="s">
        <v>491</v>
      </c>
      <c r="B60" s="17" t="s">
        <v>492</v>
      </c>
      <c r="C60" s="18" t="s">
        <v>493</v>
      </c>
      <c r="D60" s="18" t="s">
        <v>494</v>
      </c>
      <c r="E60" s="18" t="s">
        <v>495</v>
      </c>
      <c r="F60" s="18" t="s">
        <v>378</v>
      </c>
      <c r="G60" s="18" t="s">
        <v>237</v>
      </c>
      <c r="H60" s="18" t="s">
        <v>128</v>
      </c>
      <c r="I60" s="18" t="s">
        <v>496</v>
      </c>
      <c r="J60" s="18" t="s">
        <v>497</v>
      </c>
      <c r="K60" s="18" t="s">
        <v>498</v>
      </c>
      <c r="L60" s="19">
        <v>37960</v>
      </c>
    </row>
    <row r="61" spans="1:12" ht="18" customHeight="1">
      <c r="A61" s="16" t="s">
        <v>499</v>
      </c>
      <c r="B61" s="17" t="s">
        <v>500</v>
      </c>
      <c r="C61" s="18" t="s">
        <v>501</v>
      </c>
      <c r="D61" s="18" t="s">
        <v>502</v>
      </c>
      <c r="E61" s="18" t="s">
        <v>503</v>
      </c>
      <c r="F61" s="18" t="s">
        <v>378</v>
      </c>
      <c r="G61" s="18" t="s">
        <v>237</v>
      </c>
      <c r="H61" s="18" t="s">
        <v>504</v>
      </c>
      <c r="I61" s="18" t="s">
        <v>505</v>
      </c>
      <c r="J61" s="18" t="s">
        <v>506</v>
      </c>
      <c r="K61" s="18" t="s">
        <v>507</v>
      </c>
      <c r="L61" s="19">
        <v>81320</v>
      </c>
    </row>
    <row r="62" spans="1:12" ht="18" customHeight="1">
      <c r="A62" s="16" t="s">
        <v>508</v>
      </c>
      <c r="B62" s="17" t="s">
        <v>509</v>
      </c>
      <c r="C62" s="18" t="s">
        <v>510</v>
      </c>
      <c r="D62" s="18" t="s">
        <v>511</v>
      </c>
      <c r="E62" s="18" t="s">
        <v>512</v>
      </c>
      <c r="F62" s="18" t="s">
        <v>378</v>
      </c>
      <c r="G62" s="18" t="s">
        <v>237</v>
      </c>
      <c r="H62" s="18" t="s">
        <v>351</v>
      </c>
      <c r="I62" s="18" t="s">
        <v>513</v>
      </c>
      <c r="J62" s="18" t="s">
        <v>514</v>
      </c>
      <c r="K62" s="18" t="s">
        <v>515</v>
      </c>
      <c r="L62" s="19">
        <v>62766</v>
      </c>
    </row>
    <row r="63" spans="1:12" ht="18" customHeight="1">
      <c r="A63" s="16" t="s">
        <v>516</v>
      </c>
      <c r="B63" s="17" t="s">
        <v>517</v>
      </c>
      <c r="C63" s="18" t="s">
        <v>518</v>
      </c>
      <c r="D63" s="18" t="s">
        <v>519</v>
      </c>
      <c r="E63" s="18" t="s">
        <v>520</v>
      </c>
      <c r="F63" s="18" t="s">
        <v>378</v>
      </c>
      <c r="G63" s="18" t="s">
        <v>237</v>
      </c>
      <c r="H63" s="18" t="s">
        <v>168</v>
      </c>
      <c r="I63" s="18" t="s">
        <v>521</v>
      </c>
      <c r="J63" s="18" t="s">
        <v>522</v>
      </c>
      <c r="K63" s="18" t="s">
        <v>523</v>
      </c>
      <c r="L63" s="19">
        <v>74585</v>
      </c>
    </row>
    <row r="64" spans="1:12" ht="18" customHeight="1">
      <c r="A64" s="16" t="s">
        <v>524</v>
      </c>
      <c r="B64" s="17" t="s">
        <v>525</v>
      </c>
      <c r="C64" s="18" t="s">
        <v>526</v>
      </c>
      <c r="D64" s="18" t="s">
        <v>527</v>
      </c>
      <c r="E64" s="18" t="s">
        <v>528</v>
      </c>
      <c r="F64" s="18" t="s">
        <v>378</v>
      </c>
      <c r="G64" s="18" t="s">
        <v>237</v>
      </c>
      <c r="H64" s="18" t="s">
        <v>68</v>
      </c>
      <c r="I64" s="18" t="s">
        <v>529</v>
      </c>
      <c r="J64" s="18" t="s">
        <v>530</v>
      </c>
      <c r="K64" s="18" t="s">
        <v>531</v>
      </c>
      <c r="L64" s="19">
        <v>21700</v>
      </c>
    </row>
    <row r="65" spans="1:12" ht="18" customHeight="1">
      <c r="A65" s="16" t="s">
        <v>532</v>
      </c>
      <c r="B65" s="17" t="s">
        <v>533</v>
      </c>
      <c r="C65" s="18" t="s">
        <v>534</v>
      </c>
      <c r="D65" s="18" t="s">
        <v>535</v>
      </c>
      <c r="E65" s="18" t="s">
        <v>536</v>
      </c>
      <c r="F65" s="18" t="s">
        <v>378</v>
      </c>
      <c r="G65" s="18" t="s">
        <v>237</v>
      </c>
      <c r="H65" s="18" t="s">
        <v>504</v>
      </c>
      <c r="I65" s="18" t="s">
        <v>537</v>
      </c>
      <c r="J65" s="18" t="s">
        <v>538</v>
      </c>
      <c r="K65" s="18" t="s">
        <v>539</v>
      </c>
      <c r="L65" s="19">
        <v>81980</v>
      </c>
    </row>
    <row r="66" spans="1:12" ht="18" customHeight="1">
      <c r="A66" s="16" t="s">
        <v>540</v>
      </c>
      <c r="B66" s="17" t="s">
        <v>541</v>
      </c>
      <c r="C66" s="18" t="s">
        <v>542</v>
      </c>
      <c r="D66" s="18" t="s">
        <v>543</v>
      </c>
      <c r="E66" s="18" t="s">
        <v>544</v>
      </c>
      <c r="F66" s="18" t="s">
        <v>378</v>
      </c>
      <c r="G66" s="18" t="s">
        <v>237</v>
      </c>
      <c r="H66" s="18" t="s">
        <v>175</v>
      </c>
      <c r="I66" s="18" t="s">
        <v>545</v>
      </c>
      <c r="J66" s="18" t="s">
        <v>546</v>
      </c>
      <c r="K66" s="18" t="s">
        <v>547</v>
      </c>
      <c r="L66" s="19">
        <v>76650</v>
      </c>
    </row>
    <row r="67" spans="1:12" ht="18" customHeight="1">
      <c r="A67" s="16" t="s">
        <v>548</v>
      </c>
      <c r="B67" s="17" t="s">
        <v>549</v>
      </c>
      <c r="C67" s="18" t="s">
        <v>550</v>
      </c>
      <c r="D67" s="18" t="s">
        <v>551</v>
      </c>
      <c r="E67" s="18" t="s">
        <v>552</v>
      </c>
      <c r="F67" s="18" t="s">
        <v>378</v>
      </c>
      <c r="G67" s="18" t="s">
        <v>237</v>
      </c>
      <c r="H67" s="18" t="s">
        <v>168</v>
      </c>
      <c r="I67" s="18" t="s">
        <v>553</v>
      </c>
      <c r="J67" s="18" t="s">
        <v>554</v>
      </c>
      <c r="K67" s="18" t="s">
        <v>168</v>
      </c>
      <c r="L67" s="19">
        <v>72303</v>
      </c>
    </row>
    <row r="68" spans="1:12" ht="18" customHeight="1">
      <c r="A68" s="16" t="s">
        <v>555</v>
      </c>
      <c r="B68" s="17" t="s">
        <v>556</v>
      </c>
      <c r="C68" s="18" t="s">
        <v>557</v>
      </c>
      <c r="D68" s="18" t="s">
        <v>558</v>
      </c>
      <c r="E68" s="18" t="s">
        <v>559</v>
      </c>
      <c r="F68" s="18" t="s">
        <v>378</v>
      </c>
      <c r="G68" s="18" t="s">
        <v>237</v>
      </c>
      <c r="H68" s="18" t="s">
        <v>504</v>
      </c>
      <c r="I68" s="18" t="s">
        <v>560</v>
      </c>
      <c r="J68" s="18" t="s">
        <v>561</v>
      </c>
      <c r="K68" s="18" t="s">
        <v>562</v>
      </c>
      <c r="L68" s="19">
        <v>81670</v>
      </c>
    </row>
    <row r="69" spans="1:12" ht="18" customHeight="1">
      <c r="A69" s="16" t="s">
        <v>563</v>
      </c>
      <c r="B69" s="17" t="s">
        <v>564</v>
      </c>
      <c r="C69" s="18" t="s">
        <v>565</v>
      </c>
      <c r="D69" s="18" t="s">
        <v>566</v>
      </c>
      <c r="E69" s="18" t="s">
        <v>567</v>
      </c>
      <c r="F69" s="18" t="s">
        <v>378</v>
      </c>
      <c r="G69" s="18" t="s">
        <v>237</v>
      </c>
      <c r="H69" s="18" t="s">
        <v>213</v>
      </c>
      <c r="I69" s="18" t="s">
        <v>568</v>
      </c>
      <c r="J69" s="18" t="s">
        <v>569</v>
      </c>
      <c r="K69" s="18" t="s">
        <v>213</v>
      </c>
      <c r="L69" s="19">
        <v>87800</v>
      </c>
    </row>
    <row r="70" spans="1:12" ht="18" customHeight="1">
      <c r="A70" s="16" t="s">
        <v>570</v>
      </c>
      <c r="B70" s="17" t="s">
        <v>571</v>
      </c>
      <c r="C70" s="18" t="s">
        <v>572</v>
      </c>
      <c r="D70" s="18" t="s">
        <v>573</v>
      </c>
      <c r="E70" s="18" t="s">
        <v>574</v>
      </c>
      <c r="F70" s="18" t="s">
        <v>378</v>
      </c>
      <c r="G70" s="18" t="s">
        <v>237</v>
      </c>
      <c r="H70" s="18" t="s">
        <v>504</v>
      </c>
      <c r="I70" s="18" t="s">
        <v>575</v>
      </c>
      <c r="J70" s="18" t="s">
        <v>576</v>
      </c>
      <c r="K70" s="18" t="s">
        <v>577</v>
      </c>
      <c r="L70" s="19">
        <v>83330</v>
      </c>
    </row>
    <row r="71" spans="1:12" ht="18" customHeight="1">
      <c r="A71" s="16" t="s">
        <v>578</v>
      </c>
      <c r="B71" s="17" t="s">
        <v>579</v>
      </c>
      <c r="C71" s="18" t="s">
        <v>580</v>
      </c>
      <c r="D71" s="18" t="s">
        <v>581</v>
      </c>
      <c r="E71" s="18" t="s">
        <v>582</v>
      </c>
      <c r="F71" s="18" t="s">
        <v>378</v>
      </c>
      <c r="G71" s="18" t="s">
        <v>237</v>
      </c>
      <c r="H71" s="18" t="s">
        <v>583</v>
      </c>
      <c r="I71" s="18" t="s">
        <v>584</v>
      </c>
      <c r="J71" s="18" t="s">
        <v>585</v>
      </c>
      <c r="K71" s="18" t="s">
        <v>586</v>
      </c>
      <c r="L71" s="19">
        <v>43050</v>
      </c>
    </row>
    <row r="72" spans="1:12" ht="18" customHeight="1">
      <c r="A72" s="16" t="s">
        <v>587</v>
      </c>
      <c r="B72" s="17" t="s">
        <v>588</v>
      </c>
      <c r="C72" s="18" t="s">
        <v>589</v>
      </c>
      <c r="D72" s="18" t="s">
        <v>590</v>
      </c>
      <c r="E72" s="18" t="s">
        <v>591</v>
      </c>
      <c r="F72" s="18" t="s">
        <v>378</v>
      </c>
      <c r="G72" s="18" t="s">
        <v>237</v>
      </c>
      <c r="H72" s="18" t="s">
        <v>168</v>
      </c>
      <c r="I72" s="18" t="s">
        <v>592</v>
      </c>
      <c r="J72" s="18" t="s">
        <v>593</v>
      </c>
      <c r="K72" s="18" t="s">
        <v>594</v>
      </c>
      <c r="L72" s="19">
        <v>74160</v>
      </c>
    </row>
    <row r="73" spans="1:12" ht="18" customHeight="1">
      <c r="A73" s="16" t="s">
        <v>595</v>
      </c>
      <c r="B73" s="17" t="s">
        <v>596</v>
      </c>
      <c r="C73" s="18" t="s">
        <v>597</v>
      </c>
      <c r="D73" s="18" t="s">
        <v>598</v>
      </c>
      <c r="E73" s="18" t="s">
        <v>599</v>
      </c>
      <c r="F73" s="18" t="s">
        <v>378</v>
      </c>
      <c r="G73" s="18" t="s">
        <v>237</v>
      </c>
      <c r="H73" s="18" t="s">
        <v>160</v>
      </c>
      <c r="I73" s="18" t="s">
        <v>600</v>
      </c>
      <c r="J73" s="18" t="s">
        <v>601</v>
      </c>
      <c r="K73" s="18" t="s">
        <v>602</v>
      </c>
      <c r="L73" s="19">
        <v>67830</v>
      </c>
    </row>
    <row r="74" spans="1:12" ht="18" customHeight="1">
      <c r="A74" s="16" t="s">
        <v>603</v>
      </c>
      <c r="B74" s="17" t="s">
        <v>604</v>
      </c>
      <c r="C74" s="18" t="s">
        <v>605</v>
      </c>
      <c r="D74" s="18" t="s">
        <v>606</v>
      </c>
      <c r="E74" s="18" t="s">
        <v>607</v>
      </c>
      <c r="F74" s="18" t="s">
        <v>378</v>
      </c>
      <c r="G74" s="18" t="s">
        <v>237</v>
      </c>
      <c r="H74" s="18" t="s">
        <v>351</v>
      </c>
      <c r="I74" s="18" t="s">
        <v>608</v>
      </c>
      <c r="J74" s="18" t="s">
        <v>609</v>
      </c>
      <c r="K74" s="18" t="s">
        <v>610</v>
      </c>
      <c r="L74" s="19">
        <v>62550</v>
      </c>
    </row>
    <row r="75" spans="1:12" ht="18" customHeight="1">
      <c r="A75" s="16" t="s">
        <v>611</v>
      </c>
      <c r="B75" s="17" t="s">
        <v>612</v>
      </c>
      <c r="C75" s="18" t="s">
        <v>613</v>
      </c>
      <c r="D75" s="18" t="s">
        <v>614</v>
      </c>
      <c r="E75" s="18" t="s">
        <v>615</v>
      </c>
      <c r="F75" s="18" t="s">
        <v>378</v>
      </c>
      <c r="G75" s="18" t="s">
        <v>237</v>
      </c>
      <c r="H75" s="18" t="s">
        <v>616</v>
      </c>
      <c r="I75" s="18" t="s">
        <v>617</v>
      </c>
      <c r="J75" s="18" t="s">
        <v>618</v>
      </c>
      <c r="K75" s="18" t="s">
        <v>619</v>
      </c>
      <c r="L75" s="19">
        <v>96980</v>
      </c>
    </row>
    <row r="76" spans="1:12" ht="18" customHeight="1">
      <c r="A76" s="16" t="s">
        <v>620</v>
      </c>
      <c r="B76" s="17" t="s">
        <v>423</v>
      </c>
      <c r="C76" s="18" t="s">
        <v>621</v>
      </c>
      <c r="D76" s="18" t="s">
        <v>622</v>
      </c>
      <c r="E76" s="18" t="s">
        <v>623</v>
      </c>
      <c r="F76" s="18" t="s">
        <v>378</v>
      </c>
      <c r="G76" s="18" t="s">
        <v>237</v>
      </c>
      <c r="H76" s="18" t="s">
        <v>228</v>
      </c>
      <c r="I76" s="18" t="s">
        <v>624</v>
      </c>
      <c r="J76" s="18" t="s">
        <v>625</v>
      </c>
      <c r="K76" s="18" t="s">
        <v>626</v>
      </c>
      <c r="L76" s="19">
        <v>98770</v>
      </c>
    </row>
    <row r="77" spans="1:12" ht="18" customHeight="1">
      <c r="A77" s="16" t="s">
        <v>627</v>
      </c>
      <c r="B77" s="17" t="s">
        <v>628</v>
      </c>
      <c r="C77" s="18" t="s">
        <v>629</v>
      </c>
      <c r="D77" s="18" t="s">
        <v>630</v>
      </c>
      <c r="E77" s="18" t="s">
        <v>631</v>
      </c>
      <c r="F77" s="18" t="s">
        <v>378</v>
      </c>
      <c r="G77" s="18" t="s">
        <v>237</v>
      </c>
      <c r="H77" s="18" t="s">
        <v>632</v>
      </c>
      <c r="I77" s="18" t="s">
        <v>633</v>
      </c>
      <c r="J77" s="18" t="s">
        <v>634</v>
      </c>
      <c r="K77" s="18" t="s">
        <v>635</v>
      </c>
      <c r="L77" s="19">
        <v>44420</v>
      </c>
    </row>
    <row r="78" spans="1:12" ht="18" customHeight="1">
      <c r="A78" s="16" t="s">
        <v>636</v>
      </c>
      <c r="B78" s="17" t="s">
        <v>637</v>
      </c>
      <c r="C78" s="18" t="s">
        <v>638</v>
      </c>
      <c r="D78" s="18" t="s">
        <v>639</v>
      </c>
      <c r="E78" s="18" t="s">
        <v>640</v>
      </c>
      <c r="F78" s="18" t="s">
        <v>378</v>
      </c>
      <c r="G78" s="18" t="s">
        <v>237</v>
      </c>
      <c r="H78" s="18" t="s">
        <v>205</v>
      </c>
      <c r="I78" s="18" t="s">
        <v>641</v>
      </c>
      <c r="J78" s="18" t="s">
        <v>642</v>
      </c>
      <c r="K78" s="18" t="s">
        <v>643</v>
      </c>
      <c r="L78" s="19">
        <v>86220</v>
      </c>
    </row>
    <row r="79" spans="1:12" ht="18" customHeight="1">
      <c r="A79" s="16" t="s">
        <v>644</v>
      </c>
      <c r="B79" s="17" t="s">
        <v>423</v>
      </c>
      <c r="C79" s="18" t="s">
        <v>645</v>
      </c>
      <c r="D79" s="18" t="s">
        <v>646</v>
      </c>
      <c r="E79" s="18" t="s">
        <v>647</v>
      </c>
      <c r="F79" s="18" t="s">
        <v>378</v>
      </c>
      <c r="G79" s="18" t="s">
        <v>237</v>
      </c>
      <c r="H79" s="18" t="s">
        <v>228</v>
      </c>
      <c r="I79" s="18" t="s">
        <v>648</v>
      </c>
      <c r="J79" s="18" t="s">
        <v>649</v>
      </c>
      <c r="K79" s="18" t="s">
        <v>650</v>
      </c>
      <c r="L79" s="19">
        <v>98350</v>
      </c>
    </row>
    <row r="80" spans="1:12" ht="18" customHeight="1">
      <c r="A80" s="16" t="s">
        <v>651</v>
      </c>
      <c r="B80" s="17" t="s">
        <v>652</v>
      </c>
      <c r="C80" s="18" t="s">
        <v>653</v>
      </c>
      <c r="D80" s="18" t="s">
        <v>654</v>
      </c>
      <c r="E80" s="18" t="s">
        <v>655</v>
      </c>
      <c r="F80" s="18" t="s">
        <v>378</v>
      </c>
      <c r="G80" s="18" t="s">
        <v>237</v>
      </c>
      <c r="H80" s="18" t="s">
        <v>213</v>
      </c>
      <c r="I80" s="18" t="s">
        <v>656</v>
      </c>
      <c r="J80" s="18" t="s">
        <v>657</v>
      </c>
      <c r="K80" s="18" t="s">
        <v>658</v>
      </c>
      <c r="L80" s="19">
        <v>88370</v>
      </c>
    </row>
    <row r="81" spans="1:12" ht="18" customHeight="1">
      <c r="A81" s="16" t="s">
        <v>659</v>
      </c>
      <c r="B81" s="17" t="s">
        <v>660</v>
      </c>
      <c r="C81" s="18" t="s">
        <v>661</v>
      </c>
      <c r="D81" s="18" t="s">
        <v>662</v>
      </c>
      <c r="E81" s="18" t="s">
        <v>663</v>
      </c>
      <c r="F81" s="18" t="s">
        <v>378</v>
      </c>
      <c r="G81" s="18" t="s">
        <v>237</v>
      </c>
      <c r="H81" s="18" t="s">
        <v>213</v>
      </c>
      <c r="I81" s="18" t="s">
        <v>664</v>
      </c>
      <c r="J81" s="18" t="s">
        <v>665</v>
      </c>
      <c r="K81" s="18" t="s">
        <v>666</v>
      </c>
      <c r="L81" s="19">
        <v>88400</v>
      </c>
    </row>
    <row r="82" spans="1:12" ht="18" customHeight="1">
      <c r="A82" s="16" t="s">
        <v>667</v>
      </c>
      <c r="B82" s="17" t="s">
        <v>668</v>
      </c>
      <c r="C82" s="18" t="s">
        <v>669</v>
      </c>
      <c r="D82" s="18" t="s">
        <v>670</v>
      </c>
      <c r="E82" s="18" t="s">
        <v>671</v>
      </c>
      <c r="F82" s="18" t="s">
        <v>378</v>
      </c>
      <c r="G82" s="18" t="s">
        <v>237</v>
      </c>
      <c r="H82" s="18" t="s">
        <v>351</v>
      </c>
      <c r="I82" s="18" t="s">
        <v>672</v>
      </c>
      <c r="J82" s="18" t="s">
        <v>673</v>
      </c>
      <c r="K82" s="18" t="s">
        <v>674</v>
      </c>
      <c r="L82" s="19">
        <v>62853</v>
      </c>
    </row>
    <row r="83" spans="1:12" ht="18" customHeight="1">
      <c r="A83" s="16" t="s">
        <v>675</v>
      </c>
      <c r="B83" s="17" t="s">
        <v>676</v>
      </c>
      <c r="C83" s="18" t="s">
        <v>677</v>
      </c>
      <c r="D83" s="18" t="s">
        <v>678</v>
      </c>
      <c r="E83" s="18" t="s">
        <v>679</v>
      </c>
      <c r="F83" s="18" t="s">
        <v>378</v>
      </c>
      <c r="G83" s="18" t="s">
        <v>237</v>
      </c>
      <c r="H83" s="18" t="s">
        <v>213</v>
      </c>
      <c r="I83" s="18" t="s">
        <v>680</v>
      </c>
      <c r="J83" s="18" t="s">
        <v>681</v>
      </c>
      <c r="K83" s="18" t="s">
        <v>682</v>
      </c>
      <c r="L83" s="19">
        <v>87780</v>
      </c>
    </row>
    <row r="84" spans="1:12" ht="18" customHeight="1">
      <c r="A84" s="16" t="s">
        <v>683</v>
      </c>
      <c r="B84" s="17" t="s">
        <v>684</v>
      </c>
      <c r="C84" s="18" t="s">
        <v>685</v>
      </c>
      <c r="D84" s="18" t="s">
        <v>686</v>
      </c>
      <c r="E84" s="18" t="s">
        <v>687</v>
      </c>
      <c r="F84" s="18" t="s">
        <v>378</v>
      </c>
      <c r="G84" s="18" t="s">
        <v>237</v>
      </c>
      <c r="H84" s="18" t="s">
        <v>175</v>
      </c>
      <c r="I84" s="18" t="s">
        <v>688</v>
      </c>
      <c r="J84" s="18" t="s">
        <v>689</v>
      </c>
      <c r="K84" s="18" t="s">
        <v>690</v>
      </c>
      <c r="L84" s="19">
        <v>76700</v>
      </c>
    </row>
    <row r="85" spans="1:12" ht="18" customHeight="1">
      <c r="A85" s="16" t="s">
        <v>691</v>
      </c>
      <c r="B85" s="17" t="s">
        <v>692</v>
      </c>
      <c r="C85" s="18" t="s">
        <v>693</v>
      </c>
      <c r="D85" s="18" t="s">
        <v>694</v>
      </c>
      <c r="E85" s="18" t="s">
        <v>695</v>
      </c>
      <c r="F85" s="18" t="s">
        <v>378</v>
      </c>
      <c r="G85" s="18" t="s">
        <v>237</v>
      </c>
      <c r="H85" s="18" t="s">
        <v>182</v>
      </c>
      <c r="I85" s="18" t="s">
        <v>696</v>
      </c>
      <c r="J85" s="18" t="s">
        <v>697</v>
      </c>
      <c r="K85" s="18" t="s">
        <v>698</v>
      </c>
      <c r="L85" s="19">
        <v>77710</v>
      </c>
    </row>
    <row r="86" spans="1:12" ht="18" customHeight="1">
      <c r="A86" s="16" t="s">
        <v>699</v>
      </c>
      <c r="B86" s="17" t="s">
        <v>700</v>
      </c>
      <c r="C86" s="18" t="s">
        <v>701</v>
      </c>
      <c r="D86" s="18" t="s">
        <v>702</v>
      </c>
      <c r="E86" s="18" t="s">
        <v>703</v>
      </c>
      <c r="F86" s="18" t="s">
        <v>378</v>
      </c>
      <c r="G86" s="18" t="s">
        <v>237</v>
      </c>
      <c r="H86" s="18" t="s">
        <v>351</v>
      </c>
      <c r="I86" s="18" t="s">
        <v>704</v>
      </c>
      <c r="J86" s="18" t="s">
        <v>705</v>
      </c>
      <c r="K86" s="18" t="s">
        <v>706</v>
      </c>
      <c r="L86" s="19">
        <v>62660</v>
      </c>
    </row>
    <row r="87" spans="1:12" ht="18" customHeight="1">
      <c r="A87" s="16" t="s">
        <v>707</v>
      </c>
      <c r="B87" s="17" t="s">
        <v>708</v>
      </c>
      <c r="C87" s="18" t="s">
        <v>709</v>
      </c>
      <c r="D87" s="18" t="s">
        <v>710</v>
      </c>
      <c r="E87" s="18" t="s">
        <v>711</v>
      </c>
      <c r="F87" s="18" t="s">
        <v>378</v>
      </c>
      <c r="G87" s="18" t="s">
        <v>237</v>
      </c>
      <c r="H87" s="18" t="s">
        <v>106</v>
      </c>
      <c r="I87" s="18" t="s">
        <v>712</v>
      </c>
      <c r="J87" s="18" t="s">
        <v>713</v>
      </c>
      <c r="K87" s="18" t="s">
        <v>714</v>
      </c>
      <c r="L87" s="19">
        <v>25900</v>
      </c>
    </row>
    <row r="88" spans="1:12" ht="18" customHeight="1">
      <c r="A88" s="16" t="s">
        <v>715</v>
      </c>
      <c r="B88" s="17" t="s">
        <v>716</v>
      </c>
      <c r="C88" s="18" t="s">
        <v>717</v>
      </c>
      <c r="D88" s="18" t="s">
        <v>718</v>
      </c>
      <c r="E88" s="18" t="s">
        <v>719</v>
      </c>
      <c r="F88" s="18" t="s">
        <v>378</v>
      </c>
      <c r="G88" s="18" t="s">
        <v>237</v>
      </c>
      <c r="H88" s="18" t="s">
        <v>228</v>
      </c>
      <c r="I88" s="18" t="s">
        <v>720</v>
      </c>
      <c r="J88" s="18" t="s">
        <v>721</v>
      </c>
      <c r="K88" s="18" t="s">
        <v>722</v>
      </c>
      <c r="L88" s="19">
        <v>99130</v>
      </c>
    </row>
    <row r="89" spans="1:12" ht="18" customHeight="1">
      <c r="A89" s="16" t="s">
        <v>723</v>
      </c>
      <c r="B89" s="17" t="s">
        <v>724</v>
      </c>
      <c r="C89" s="18" t="s">
        <v>725</v>
      </c>
      <c r="D89" s="18" t="s">
        <v>726</v>
      </c>
      <c r="E89" s="18" t="s">
        <v>727</v>
      </c>
      <c r="F89" s="18" t="s">
        <v>378</v>
      </c>
      <c r="G89" s="18" t="s">
        <v>237</v>
      </c>
      <c r="H89" s="18" t="s">
        <v>583</v>
      </c>
      <c r="I89" s="18" t="s">
        <v>728</v>
      </c>
      <c r="J89" s="18" t="s">
        <v>729</v>
      </c>
      <c r="K89" s="18" t="s">
        <v>730</v>
      </c>
      <c r="L89" s="19">
        <v>43020</v>
      </c>
    </row>
    <row r="90" spans="1:12" ht="18" customHeight="1">
      <c r="A90" s="16" t="s">
        <v>731</v>
      </c>
      <c r="B90" s="17" t="s">
        <v>732</v>
      </c>
      <c r="C90" s="18" t="s">
        <v>733</v>
      </c>
      <c r="D90" s="18" t="s">
        <v>734</v>
      </c>
      <c r="E90" s="18" t="s">
        <v>735</v>
      </c>
      <c r="F90" s="18" t="s">
        <v>378</v>
      </c>
      <c r="G90" s="18" t="s">
        <v>237</v>
      </c>
      <c r="H90" s="18" t="s">
        <v>61</v>
      </c>
      <c r="I90" s="18" t="s">
        <v>736</v>
      </c>
      <c r="J90" s="18" t="s">
        <v>737</v>
      </c>
      <c r="K90" s="18" t="s">
        <v>738</v>
      </c>
      <c r="L90" s="19">
        <v>20300</v>
      </c>
    </row>
    <row r="91" spans="1:12" ht="18" customHeight="1">
      <c r="A91" s="16" t="s">
        <v>739</v>
      </c>
      <c r="B91" s="17" t="s">
        <v>740</v>
      </c>
      <c r="C91" s="18" t="s">
        <v>741</v>
      </c>
      <c r="D91" s="18" t="s">
        <v>742</v>
      </c>
      <c r="E91" s="18" t="s">
        <v>743</v>
      </c>
      <c r="F91" s="18" t="s">
        <v>378</v>
      </c>
      <c r="G91" s="18" t="s">
        <v>237</v>
      </c>
      <c r="H91" s="18" t="s">
        <v>76</v>
      </c>
      <c r="I91" s="18" t="s">
        <v>744</v>
      </c>
      <c r="J91" s="18" t="s">
        <v>745</v>
      </c>
      <c r="K91" s="18" t="s">
        <v>746</v>
      </c>
      <c r="L91" s="19">
        <v>23930</v>
      </c>
    </row>
    <row r="92" spans="1:12" ht="18" customHeight="1">
      <c r="A92" s="16" t="s">
        <v>747</v>
      </c>
      <c r="B92" s="17" t="s">
        <v>748</v>
      </c>
      <c r="C92" s="18" t="s">
        <v>749</v>
      </c>
      <c r="D92" s="18" t="s">
        <v>750</v>
      </c>
      <c r="E92" s="18" t="s">
        <v>751</v>
      </c>
      <c r="F92" s="18" t="s">
        <v>378</v>
      </c>
      <c r="G92" s="18" t="s">
        <v>237</v>
      </c>
      <c r="H92" s="18" t="s">
        <v>61</v>
      </c>
      <c r="I92" s="18" t="s">
        <v>752</v>
      </c>
      <c r="J92" s="18" t="s">
        <v>753</v>
      </c>
      <c r="K92" s="18" t="s">
        <v>754</v>
      </c>
      <c r="L92" s="19">
        <v>20500</v>
      </c>
    </row>
    <row r="93" spans="1:12" ht="18" customHeight="1">
      <c r="A93" s="16" t="s">
        <v>755</v>
      </c>
      <c r="B93" s="17" t="s">
        <v>756</v>
      </c>
      <c r="C93" s="18" t="s">
        <v>757</v>
      </c>
      <c r="D93" s="18" t="s">
        <v>758</v>
      </c>
      <c r="E93" s="18" t="s">
        <v>759</v>
      </c>
      <c r="F93" s="18" t="s">
        <v>378</v>
      </c>
      <c r="G93" s="18" t="s">
        <v>237</v>
      </c>
      <c r="H93" s="18" t="s">
        <v>99</v>
      </c>
      <c r="I93" s="18" t="s">
        <v>760</v>
      </c>
      <c r="J93" s="18" t="s">
        <v>761</v>
      </c>
      <c r="K93" s="18" t="s">
        <v>762</v>
      </c>
      <c r="L93" s="19">
        <v>31560</v>
      </c>
    </row>
    <row r="94" spans="1:12" ht="18" customHeight="1">
      <c r="A94" s="16" t="s">
        <v>763</v>
      </c>
      <c r="B94" s="17" t="s">
        <v>764</v>
      </c>
      <c r="C94" s="18" t="s">
        <v>765</v>
      </c>
      <c r="D94" s="18" t="s">
        <v>766</v>
      </c>
      <c r="E94" s="18" t="s">
        <v>767</v>
      </c>
      <c r="F94" s="18" t="s">
        <v>378</v>
      </c>
      <c r="G94" s="18" t="s">
        <v>237</v>
      </c>
      <c r="H94" s="18" t="s">
        <v>213</v>
      </c>
      <c r="I94" s="18" t="s">
        <v>768</v>
      </c>
      <c r="J94" s="18" t="s">
        <v>769</v>
      </c>
      <c r="K94" s="18" t="s">
        <v>770</v>
      </c>
      <c r="L94" s="19">
        <v>87700</v>
      </c>
    </row>
    <row r="95" spans="1:12" ht="18" customHeight="1">
      <c r="A95" s="16" t="s">
        <v>771</v>
      </c>
      <c r="B95" s="17" t="s">
        <v>772</v>
      </c>
      <c r="C95" s="18" t="s">
        <v>773</v>
      </c>
      <c r="D95" s="18" t="s">
        <v>774</v>
      </c>
      <c r="E95" s="18" t="s">
        <v>775</v>
      </c>
      <c r="F95" s="18" t="s">
        <v>378</v>
      </c>
      <c r="G95" s="18" t="s">
        <v>237</v>
      </c>
      <c r="H95" s="18" t="s">
        <v>632</v>
      </c>
      <c r="I95" s="18" t="s">
        <v>776</v>
      </c>
      <c r="J95" s="18" t="s">
        <v>777</v>
      </c>
      <c r="K95" s="18" t="s">
        <v>778</v>
      </c>
      <c r="L95" s="19">
        <v>49300</v>
      </c>
    </row>
    <row r="96" spans="1:12" ht="18" customHeight="1">
      <c r="A96" s="16" t="s">
        <v>779</v>
      </c>
      <c r="B96" s="17" t="s">
        <v>780</v>
      </c>
      <c r="C96" s="18" t="s">
        <v>781</v>
      </c>
      <c r="D96" s="18" t="s">
        <v>782</v>
      </c>
      <c r="E96" s="18" t="s">
        <v>783</v>
      </c>
      <c r="F96" s="18" t="s">
        <v>378</v>
      </c>
      <c r="G96" s="18" t="s">
        <v>237</v>
      </c>
      <c r="H96" s="18" t="s">
        <v>213</v>
      </c>
      <c r="I96" s="18" t="s">
        <v>784</v>
      </c>
      <c r="J96" s="18" t="s">
        <v>785</v>
      </c>
      <c r="K96" s="18" t="s">
        <v>786</v>
      </c>
      <c r="L96" s="19">
        <v>87670</v>
      </c>
    </row>
    <row r="97" spans="1:12" ht="18" customHeight="1">
      <c r="A97" s="16" t="s">
        <v>787</v>
      </c>
      <c r="B97" s="17" t="s">
        <v>423</v>
      </c>
      <c r="C97" s="18" t="s">
        <v>788</v>
      </c>
      <c r="D97" s="18" t="s">
        <v>789</v>
      </c>
      <c r="E97" s="18" t="s">
        <v>790</v>
      </c>
      <c r="F97" s="18" t="s">
        <v>378</v>
      </c>
      <c r="G97" s="18" t="s">
        <v>237</v>
      </c>
      <c r="H97" s="18" t="s">
        <v>228</v>
      </c>
      <c r="I97" s="18" t="s">
        <v>791</v>
      </c>
      <c r="J97" s="18" t="s">
        <v>792</v>
      </c>
      <c r="K97" s="18" t="s">
        <v>205</v>
      </c>
      <c r="L97" s="19">
        <v>99630</v>
      </c>
    </row>
    <row r="98" spans="1:12" ht="18" customHeight="1">
      <c r="A98" s="16" t="s">
        <v>793</v>
      </c>
      <c r="B98" s="17" t="s">
        <v>794</v>
      </c>
      <c r="C98" s="18" t="s">
        <v>795</v>
      </c>
      <c r="D98" s="18" t="s">
        <v>796</v>
      </c>
      <c r="E98" s="18" t="s">
        <v>797</v>
      </c>
      <c r="F98" s="18" t="s">
        <v>378</v>
      </c>
      <c r="G98" s="18" t="s">
        <v>237</v>
      </c>
      <c r="H98" s="18" t="s">
        <v>294</v>
      </c>
      <c r="I98" s="18" t="s">
        <v>798</v>
      </c>
      <c r="J98" s="18" t="s">
        <v>799</v>
      </c>
      <c r="K98" s="18" t="s">
        <v>800</v>
      </c>
      <c r="L98" s="19">
        <v>55764</v>
      </c>
    </row>
    <row r="99" spans="1:12" ht="18" customHeight="1">
      <c r="A99" s="16" t="s">
        <v>801</v>
      </c>
      <c r="B99" s="17" t="s">
        <v>802</v>
      </c>
      <c r="C99" s="18" t="s">
        <v>803</v>
      </c>
      <c r="D99" s="18" t="s">
        <v>804</v>
      </c>
      <c r="E99" s="18" t="s">
        <v>805</v>
      </c>
      <c r="F99" s="18" t="s">
        <v>378</v>
      </c>
      <c r="G99" s="18" t="s">
        <v>237</v>
      </c>
      <c r="H99" s="18" t="s">
        <v>84</v>
      </c>
      <c r="I99" s="18" t="s">
        <v>806</v>
      </c>
      <c r="J99" s="18" t="s">
        <v>807</v>
      </c>
      <c r="K99" s="18" t="s">
        <v>808</v>
      </c>
      <c r="L99" s="19">
        <v>24703</v>
      </c>
    </row>
    <row r="100" spans="1:12" ht="18" customHeight="1">
      <c r="A100" s="16" t="s">
        <v>809</v>
      </c>
      <c r="B100" s="17" t="s">
        <v>810</v>
      </c>
      <c r="C100" s="18" t="s">
        <v>811</v>
      </c>
      <c r="D100" s="18" t="s">
        <v>812</v>
      </c>
      <c r="E100" s="18" t="s">
        <v>813</v>
      </c>
      <c r="F100" s="18" t="s">
        <v>378</v>
      </c>
      <c r="G100" s="18" t="s">
        <v>237</v>
      </c>
      <c r="H100" s="18" t="s">
        <v>583</v>
      </c>
      <c r="I100" s="18" t="s">
        <v>814</v>
      </c>
      <c r="J100" s="18" t="s">
        <v>815</v>
      </c>
      <c r="K100" s="18" t="s">
        <v>816</v>
      </c>
      <c r="L100" s="19">
        <v>43480</v>
      </c>
    </row>
    <row r="101" spans="1:12" ht="18" customHeight="1">
      <c r="A101" s="16" t="s">
        <v>817</v>
      </c>
      <c r="B101" s="17" t="s">
        <v>818</v>
      </c>
      <c r="C101" s="18" t="s">
        <v>819</v>
      </c>
      <c r="D101" s="18" t="s">
        <v>820</v>
      </c>
      <c r="E101" s="18" t="s">
        <v>821</v>
      </c>
      <c r="F101" s="18" t="s">
        <v>378</v>
      </c>
      <c r="G101" s="18" t="s">
        <v>237</v>
      </c>
      <c r="H101" s="18" t="s">
        <v>351</v>
      </c>
      <c r="I101" s="18" t="s">
        <v>822</v>
      </c>
      <c r="J101" s="18" t="s">
        <v>823</v>
      </c>
      <c r="K101" s="18" t="s">
        <v>824</v>
      </c>
      <c r="L101" s="19">
        <v>62920</v>
      </c>
    </row>
    <row r="102" spans="1:12" ht="18" customHeight="1">
      <c r="A102" s="16" t="s">
        <v>825</v>
      </c>
      <c r="B102" s="17" t="s">
        <v>826</v>
      </c>
      <c r="C102" s="18" t="s">
        <v>827</v>
      </c>
      <c r="D102" s="18" t="s">
        <v>828</v>
      </c>
      <c r="E102" s="18" t="s">
        <v>829</v>
      </c>
      <c r="F102" s="18" t="s">
        <v>378</v>
      </c>
      <c r="G102" s="18" t="s">
        <v>237</v>
      </c>
      <c r="H102" s="18" t="s">
        <v>351</v>
      </c>
      <c r="I102" s="18" t="s">
        <v>830</v>
      </c>
      <c r="J102" s="18" t="s">
        <v>831</v>
      </c>
      <c r="K102" s="18" t="s">
        <v>832</v>
      </c>
      <c r="L102" s="19">
        <v>62520</v>
      </c>
    </row>
    <row r="103" spans="1:12" ht="18" customHeight="1">
      <c r="A103" s="16" t="s">
        <v>833</v>
      </c>
      <c r="B103" s="17" t="s">
        <v>834</v>
      </c>
      <c r="C103" s="18" t="s">
        <v>835</v>
      </c>
      <c r="D103" s="18" t="s">
        <v>836</v>
      </c>
      <c r="E103" s="18" t="s">
        <v>837</v>
      </c>
      <c r="F103" s="18" t="s">
        <v>378</v>
      </c>
      <c r="G103" s="18" t="s">
        <v>237</v>
      </c>
      <c r="H103" s="18" t="s">
        <v>351</v>
      </c>
      <c r="I103" s="18" t="s">
        <v>838</v>
      </c>
      <c r="J103" s="18" t="s">
        <v>839</v>
      </c>
      <c r="K103" s="18" t="s">
        <v>840</v>
      </c>
      <c r="L103" s="19">
        <v>62800</v>
      </c>
    </row>
    <row r="104" spans="1:12" ht="18" customHeight="1">
      <c r="A104" s="16" t="s">
        <v>841</v>
      </c>
      <c r="B104" s="17" t="s">
        <v>842</v>
      </c>
      <c r="C104" s="18" t="s">
        <v>843</v>
      </c>
      <c r="D104" s="18" t="s">
        <v>844</v>
      </c>
      <c r="E104" s="18" t="s">
        <v>845</v>
      </c>
      <c r="F104" s="18" t="s">
        <v>378</v>
      </c>
      <c r="G104" s="18" t="s">
        <v>237</v>
      </c>
      <c r="H104" s="18" t="s">
        <v>144</v>
      </c>
      <c r="I104" s="18" t="s">
        <v>846</v>
      </c>
      <c r="J104" s="18" t="s">
        <v>847</v>
      </c>
      <c r="K104" s="18" t="s">
        <v>848</v>
      </c>
      <c r="L104" s="19">
        <v>97470</v>
      </c>
    </row>
    <row r="105" spans="1:12" ht="18" customHeight="1">
      <c r="A105" s="16" t="s">
        <v>849</v>
      </c>
      <c r="B105" s="17" t="s">
        <v>850</v>
      </c>
      <c r="C105" s="18" t="s">
        <v>851</v>
      </c>
      <c r="D105" s="18" t="s">
        <v>852</v>
      </c>
      <c r="E105" s="18" t="s">
        <v>853</v>
      </c>
      <c r="F105" s="18" t="s">
        <v>378</v>
      </c>
      <c r="G105" s="18" t="s">
        <v>237</v>
      </c>
      <c r="H105" s="18" t="s">
        <v>351</v>
      </c>
      <c r="I105" s="18" t="s">
        <v>854</v>
      </c>
      <c r="J105" s="18" t="s">
        <v>855</v>
      </c>
      <c r="K105" s="18" t="s">
        <v>351</v>
      </c>
      <c r="L105" s="19">
        <v>62770</v>
      </c>
    </row>
    <row r="106" spans="1:12" ht="18" customHeight="1">
      <c r="A106" s="16" t="s">
        <v>856</v>
      </c>
      <c r="B106" s="17" t="s">
        <v>857</v>
      </c>
      <c r="C106" s="18" t="s">
        <v>858</v>
      </c>
      <c r="D106" s="18" t="s">
        <v>859</v>
      </c>
      <c r="E106" s="18" t="s">
        <v>860</v>
      </c>
      <c r="F106" s="18" t="s">
        <v>378</v>
      </c>
      <c r="G106" s="18" t="s">
        <v>237</v>
      </c>
      <c r="H106" s="18" t="s">
        <v>351</v>
      </c>
      <c r="I106" s="18" t="s">
        <v>861</v>
      </c>
      <c r="J106" s="18" t="s">
        <v>862</v>
      </c>
      <c r="K106" s="18" t="s">
        <v>863</v>
      </c>
      <c r="L106" s="19">
        <v>62544</v>
      </c>
    </row>
    <row r="107" spans="1:12" ht="18" customHeight="1">
      <c r="A107" s="16" t="s">
        <v>864</v>
      </c>
      <c r="B107" s="17" t="s">
        <v>865</v>
      </c>
      <c r="C107" s="18" t="s">
        <v>866</v>
      </c>
      <c r="D107" s="18" t="s">
        <v>867</v>
      </c>
      <c r="E107" s="18" t="s">
        <v>868</v>
      </c>
      <c r="F107" s="18" t="s">
        <v>378</v>
      </c>
      <c r="G107" s="18" t="s">
        <v>237</v>
      </c>
      <c r="H107" s="18" t="s">
        <v>351</v>
      </c>
      <c r="I107" s="18" t="s">
        <v>869</v>
      </c>
      <c r="J107" s="18" t="s">
        <v>870</v>
      </c>
      <c r="K107" s="18" t="s">
        <v>871</v>
      </c>
      <c r="L107" s="19">
        <v>32515</v>
      </c>
    </row>
    <row r="108" spans="1:12" ht="18" customHeight="1">
      <c r="A108" s="16" t="s">
        <v>872</v>
      </c>
      <c r="B108" s="17" t="s">
        <v>873</v>
      </c>
      <c r="C108" s="18" t="s">
        <v>874</v>
      </c>
      <c r="D108" s="18" t="s">
        <v>875</v>
      </c>
      <c r="E108" s="18" t="s">
        <v>876</v>
      </c>
      <c r="F108" s="18" t="s">
        <v>378</v>
      </c>
      <c r="G108" s="18" t="s">
        <v>237</v>
      </c>
      <c r="H108" s="18" t="s">
        <v>213</v>
      </c>
      <c r="I108" s="18" t="s">
        <v>877</v>
      </c>
      <c r="J108" s="18" t="s">
        <v>878</v>
      </c>
      <c r="K108" s="18" t="s">
        <v>879</v>
      </c>
      <c r="L108" s="19">
        <v>87900</v>
      </c>
    </row>
    <row r="109" spans="1:12" ht="18" customHeight="1">
      <c r="A109" s="16" t="s">
        <v>880</v>
      </c>
      <c r="B109" s="17" t="s">
        <v>881</v>
      </c>
      <c r="C109" s="18" t="s">
        <v>882</v>
      </c>
      <c r="D109" s="18" t="s">
        <v>883</v>
      </c>
      <c r="E109" s="18" t="s">
        <v>884</v>
      </c>
      <c r="F109" s="18" t="s">
        <v>378</v>
      </c>
      <c r="G109" s="18" t="s">
        <v>237</v>
      </c>
      <c r="H109" s="18" t="s">
        <v>197</v>
      </c>
      <c r="I109" s="18" t="s">
        <v>885</v>
      </c>
      <c r="J109" s="18" t="s">
        <v>886</v>
      </c>
      <c r="K109" s="18" t="s">
        <v>200</v>
      </c>
      <c r="L109" s="19">
        <v>83288</v>
      </c>
    </row>
    <row r="110" spans="1:12" ht="18" customHeight="1">
      <c r="A110" s="16" t="s">
        <v>887</v>
      </c>
      <c r="B110" s="17" t="s">
        <v>888</v>
      </c>
      <c r="C110" s="18" t="s">
        <v>889</v>
      </c>
      <c r="D110" s="18" t="s">
        <v>890</v>
      </c>
      <c r="E110" s="18" t="s">
        <v>891</v>
      </c>
      <c r="F110" s="18" t="s">
        <v>378</v>
      </c>
      <c r="G110" s="18" t="s">
        <v>237</v>
      </c>
      <c r="H110" s="18" t="s">
        <v>504</v>
      </c>
      <c r="I110" s="18" t="s">
        <v>892</v>
      </c>
      <c r="J110" s="18" t="s">
        <v>893</v>
      </c>
      <c r="K110" s="18" t="s">
        <v>894</v>
      </c>
      <c r="L110" s="19">
        <v>80040</v>
      </c>
    </row>
    <row r="111" spans="1:12" ht="18" customHeight="1">
      <c r="A111" s="16" t="s">
        <v>895</v>
      </c>
      <c r="B111" s="17" t="s">
        <v>896</v>
      </c>
      <c r="C111" s="18" t="s">
        <v>897</v>
      </c>
      <c r="D111" s="18" t="s">
        <v>898</v>
      </c>
      <c r="E111" s="18" t="s">
        <v>899</v>
      </c>
      <c r="F111" s="18" t="s">
        <v>378</v>
      </c>
      <c r="G111" s="18" t="s">
        <v>237</v>
      </c>
      <c r="H111" s="18" t="s">
        <v>106</v>
      </c>
      <c r="I111" s="18" t="s">
        <v>900</v>
      </c>
      <c r="J111" s="18" t="s">
        <v>901</v>
      </c>
      <c r="K111" s="18" t="s">
        <v>109</v>
      </c>
      <c r="L111" s="19">
        <v>25050</v>
      </c>
    </row>
    <row r="112" spans="1:12" ht="18" customHeight="1">
      <c r="A112" s="16" t="s">
        <v>902</v>
      </c>
      <c r="B112" s="17" t="s">
        <v>423</v>
      </c>
      <c r="C112" s="18" t="s">
        <v>903</v>
      </c>
      <c r="D112" s="18" t="s">
        <v>904</v>
      </c>
      <c r="E112" s="18" t="s">
        <v>905</v>
      </c>
      <c r="F112" s="18" t="s">
        <v>378</v>
      </c>
      <c r="G112" s="18" t="s">
        <v>237</v>
      </c>
      <c r="H112" s="18" t="s">
        <v>294</v>
      </c>
      <c r="I112" s="18" t="s">
        <v>906</v>
      </c>
      <c r="J112" s="18" t="s">
        <v>907</v>
      </c>
      <c r="K112" s="18" t="s">
        <v>304</v>
      </c>
      <c r="L112" s="19">
        <v>55018</v>
      </c>
    </row>
    <row r="113" spans="1:12" ht="18" customHeight="1">
      <c r="A113" s="16" t="s">
        <v>908</v>
      </c>
      <c r="B113" s="17" t="s">
        <v>909</v>
      </c>
      <c r="C113" s="18" t="s">
        <v>910</v>
      </c>
      <c r="D113" s="18" t="s">
        <v>911</v>
      </c>
      <c r="E113" s="18" t="s">
        <v>912</v>
      </c>
      <c r="F113" s="18" t="s">
        <v>378</v>
      </c>
      <c r="G113" s="18" t="s">
        <v>237</v>
      </c>
      <c r="H113" s="18" t="s">
        <v>632</v>
      </c>
      <c r="I113" s="18" t="s">
        <v>913</v>
      </c>
      <c r="J113" s="18" t="s">
        <v>914</v>
      </c>
      <c r="K113" s="18" t="s">
        <v>915</v>
      </c>
      <c r="L113" s="19">
        <v>44240</v>
      </c>
    </row>
    <row r="114" spans="1:12" ht="18" customHeight="1">
      <c r="A114" s="16" t="s">
        <v>916</v>
      </c>
      <c r="B114" s="17" t="s">
        <v>917</v>
      </c>
      <c r="C114" s="18" t="s">
        <v>918</v>
      </c>
      <c r="D114" s="18" t="s">
        <v>919</v>
      </c>
      <c r="E114" s="18" t="s">
        <v>920</v>
      </c>
      <c r="F114" s="18" t="s">
        <v>378</v>
      </c>
      <c r="G114" s="18" t="s">
        <v>237</v>
      </c>
      <c r="H114" s="18" t="s">
        <v>168</v>
      </c>
      <c r="I114" s="18" t="s">
        <v>921</v>
      </c>
      <c r="J114" s="18" t="s">
        <v>922</v>
      </c>
      <c r="K114" s="18" t="s">
        <v>168</v>
      </c>
      <c r="L114" s="19">
        <v>72460</v>
      </c>
    </row>
    <row r="115" spans="1:12" ht="18" customHeight="1">
      <c r="A115" s="16" t="s">
        <v>923</v>
      </c>
      <c r="B115" s="17" t="s">
        <v>924</v>
      </c>
      <c r="C115" s="18" t="s">
        <v>925</v>
      </c>
      <c r="D115" s="18" t="s">
        <v>926</v>
      </c>
      <c r="E115" s="18" t="s">
        <v>927</v>
      </c>
      <c r="F115" s="18" t="s">
        <v>378</v>
      </c>
      <c r="G115" s="18" t="s">
        <v>237</v>
      </c>
      <c r="H115" s="18" t="s">
        <v>160</v>
      </c>
      <c r="I115" s="18" t="s">
        <v>928</v>
      </c>
      <c r="J115" s="18" t="s">
        <v>929</v>
      </c>
      <c r="K115" s="18" t="s">
        <v>930</v>
      </c>
      <c r="L115" s="19">
        <v>64380</v>
      </c>
    </row>
    <row r="116" spans="1:12" ht="18" customHeight="1">
      <c r="A116" s="16" t="s">
        <v>931</v>
      </c>
      <c r="B116" s="17" t="s">
        <v>932</v>
      </c>
      <c r="C116" s="18" t="s">
        <v>933</v>
      </c>
      <c r="D116" s="18" t="s">
        <v>934</v>
      </c>
      <c r="E116" s="18" t="s">
        <v>935</v>
      </c>
      <c r="F116" s="18" t="s">
        <v>378</v>
      </c>
      <c r="G116" s="18" t="s">
        <v>237</v>
      </c>
      <c r="H116" s="18" t="s">
        <v>632</v>
      </c>
      <c r="I116" s="18" t="s">
        <v>936</v>
      </c>
      <c r="J116" s="18" t="s">
        <v>937</v>
      </c>
      <c r="K116" s="18" t="s">
        <v>938</v>
      </c>
      <c r="L116" s="19">
        <v>45149</v>
      </c>
    </row>
    <row r="117" spans="1:12" ht="18" customHeight="1">
      <c r="A117" s="16" t="s">
        <v>939</v>
      </c>
      <c r="B117" s="17" t="s">
        <v>940</v>
      </c>
      <c r="C117" s="18" t="s">
        <v>941</v>
      </c>
      <c r="D117" s="18" t="s">
        <v>942</v>
      </c>
      <c r="E117" s="18" t="s">
        <v>943</v>
      </c>
      <c r="F117" s="18" t="s">
        <v>378</v>
      </c>
      <c r="G117" s="18" t="s">
        <v>237</v>
      </c>
      <c r="H117" s="18" t="s">
        <v>213</v>
      </c>
      <c r="I117" s="18" t="s">
        <v>944</v>
      </c>
      <c r="J117" s="18" t="s">
        <v>945</v>
      </c>
      <c r="K117" s="18" t="s">
        <v>946</v>
      </c>
      <c r="L117" s="19">
        <v>89400</v>
      </c>
    </row>
    <row r="118" spans="1:12" ht="18" customHeight="1">
      <c r="A118" s="16" t="s">
        <v>947</v>
      </c>
      <c r="B118" s="17" t="s">
        <v>948</v>
      </c>
      <c r="C118" s="18" t="s">
        <v>949</v>
      </c>
      <c r="D118" s="18" t="s">
        <v>950</v>
      </c>
      <c r="E118" s="18" t="s">
        <v>951</v>
      </c>
      <c r="F118" s="18" t="s">
        <v>378</v>
      </c>
      <c r="G118" s="18" t="s">
        <v>237</v>
      </c>
      <c r="H118" s="18" t="s">
        <v>106</v>
      </c>
      <c r="I118" s="18" t="s">
        <v>952</v>
      </c>
      <c r="J118" s="18" t="s">
        <v>953</v>
      </c>
      <c r="K118" s="18" t="s">
        <v>109</v>
      </c>
      <c r="L118" s="19">
        <v>25016</v>
      </c>
    </row>
    <row r="119" spans="1:12" ht="18" customHeight="1">
      <c r="A119" s="16" t="s">
        <v>954</v>
      </c>
      <c r="B119" s="17" t="s">
        <v>955</v>
      </c>
      <c r="C119" s="18" t="s">
        <v>956</v>
      </c>
      <c r="D119" s="18" t="s">
        <v>957</v>
      </c>
      <c r="E119" s="18" t="s">
        <v>958</v>
      </c>
      <c r="F119" s="18" t="s">
        <v>378</v>
      </c>
      <c r="G119" s="18" t="s">
        <v>237</v>
      </c>
      <c r="H119" s="18" t="s">
        <v>294</v>
      </c>
      <c r="I119" s="18" t="s">
        <v>959</v>
      </c>
      <c r="J119" s="18" t="s">
        <v>960</v>
      </c>
      <c r="K119" s="18" t="s">
        <v>961</v>
      </c>
      <c r="L119" s="19">
        <v>51030</v>
      </c>
    </row>
    <row r="120" spans="1:12" ht="18" customHeight="1">
      <c r="A120" s="16" t="s">
        <v>962</v>
      </c>
      <c r="B120" s="17" t="s">
        <v>963</v>
      </c>
      <c r="C120" s="18" t="s">
        <v>964</v>
      </c>
      <c r="D120" s="18" t="s">
        <v>965</v>
      </c>
      <c r="E120" s="18" t="s">
        <v>966</v>
      </c>
      <c r="F120" s="18" t="s">
        <v>378</v>
      </c>
      <c r="G120" s="18" t="s">
        <v>237</v>
      </c>
      <c r="H120" s="18" t="s">
        <v>213</v>
      </c>
      <c r="I120" s="18" t="s">
        <v>967</v>
      </c>
      <c r="J120" s="18" t="s">
        <v>968</v>
      </c>
      <c r="K120" s="18" t="s">
        <v>969</v>
      </c>
      <c r="L120" s="19">
        <v>89670</v>
      </c>
    </row>
    <row r="121" spans="1:12" ht="18" customHeight="1">
      <c r="A121" s="16" t="s">
        <v>970</v>
      </c>
      <c r="B121" s="17" t="s">
        <v>971</v>
      </c>
      <c r="C121" s="18" t="s">
        <v>972</v>
      </c>
      <c r="D121" s="18" t="s">
        <v>973</v>
      </c>
      <c r="E121" s="18" t="s">
        <v>974</v>
      </c>
      <c r="F121" s="18" t="s">
        <v>378</v>
      </c>
      <c r="G121" s="18" t="s">
        <v>237</v>
      </c>
      <c r="H121" s="18" t="s">
        <v>175</v>
      </c>
      <c r="I121" s="18" t="s">
        <v>975</v>
      </c>
      <c r="J121" s="18" t="s">
        <v>976</v>
      </c>
      <c r="K121" s="18" t="s">
        <v>977</v>
      </c>
      <c r="L121" s="19">
        <v>76280</v>
      </c>
    </row>
    <row r="122" spans="1:12" ht="18" customHeight="1">
      <c r="A122" s="16" t="s">
        <v>978</v>
      </c>
      <c r="B122" s="17" t="s">
        <v>979</v>
      </c>
      <c r="C122" s="18" t="s">
        <v>980</v>
      </c>
      <c r="D122" s="18" t="s">
        <v>981</v>
      </c>
      <c r="E122" s="18" t="s">
        <v>982</v>
      </c>
      <c r="F122" s="18" t="s">
        <v>378</v>
      </c>
      <c r="G122" s="18" t="s">
        <v>237</v>
      </c>
      <c r="H122" s="18" t="s">
        <v>160</v>
      </c>
      <c r="I122" s="18" t="s">
        <v>983</v>
      </c>
      <c r="J122" s="18" t="s">
        <v>984</v>
      </c>
      <c r="K122" s="18" t="s">
        <v>930</v>
      </c>
      <c r="L122" s="19">
        <v>64360</v>
      </c>
    </row>
    <row r="123" spans="1:12" ht="18" customHeight="1">
      <c r="A123" s="16" t="s">
        <v>985</v>
      </c>
      <c r="B123" s="17" t="s">
        <v>955</v>
      </c>
      <c r="C123" s="18" t="s">
        <v>986</v>
      </c>
      <c r="D123" s="18" t="s">
        <v>987</v>
      </c>
      <c r="E123" s="18" t="s">
        <v>988</v>
      </c>
      <c r="F123" s="18" t="s">
        <v>378</v>
      </c>
      <c r="G123" s="18" t="s">
        <v>237</v>
      </c>
      <c r="H123" s="18" t="s">
        <v>294</v>
      </c>
      <c r="I123" s="18" t="s">
        <v>989</v>
      </c>
      <c r="J123" s="18" t="s">
        <v>990</v>
      </c>
      <c r="K123" s="18" t="s">
        <v>991</v>
      </c>
      <c r="L123" s="19">
        <v>54420</v>
      </c>
    </row>
    <row r="124" spans="1:12" ht="18" customHeight="1">
      <c r="A124" s="16" t="s">
        <v>992</v>
      </c>
      <c r="B124" s="17" t="s">
        <v>993</v>
      </c>
      <c r="C124" s="18" t="s">
        <v>994</v>
      </c>
      <c r="D124" s="18" t="s">
        <v>995</v>
      </c>
      <c r="E124" s="18" t="s">
        <v>996</v>
      </c>
      <c r="F124" s="18" t="s">
        <v>378</v>
      </c>
      <c r="G124" s="18" t="s">
        <v>237</v>
      </c>
      <c r="H124" s="18" t="s">
        <v>351</v>
      </c>
      <c r="I124" s="18" t="s">
        <v>997</v>
      </c>
      <c r="J124" s="18" t="s">
        <v>998</v>
      </c>
      <c r="K124" s="18" t="s">
        <v>351</v>
      </c>
      <c r="L124" s="19">
        <v>62790</v>
      </c>
    </row>
    <row r="125" spans="1:12" ht="18" customHeight="1">
      <c r="A125" s="16" t="s">
        <v>999</v>
      </c>
      <c r="B125" s="17" t="s">
        <v>1000</v>
      </c>
      <c r="C125" s="18" t="s">
        <v>1001</v>
      </c>
      <c r="D125" s="18" t="s">
        <v>1002</v>
      </c>
      <c r="E125" s="18" t="s">
        <v>1003</v>
      </c>
      <c r="F125" s="18" t="s">
        <v>378</v>
      </c>
      <c r="G125" s="18" t="s">
        <v>237</v>
      </c>
      <c r="H125" s="18" t="s">
        <v>351</v>
      </c>
      <c r="I125" s="18" t="s">
        <v>1004</v>
      </c>
      <c r="J125" s="18" t="s">
        <v>1005</v>
      </c>
      <c r="K125" s="18" t="s">
        <v>706</v>
      </c>
      <c r="L125" s="19">
        <v>62660</v>
      </c>
    </row>
    <row r="126" spans="1:12" ht="18" customHeight="1">
      <c r="A126" s="16" t="s">
        <v>1006</v>
      </c>
      <c r="B126" s="17" t="s">
        <v>1007</v>
      </c>
      <c r="C126" s="18" t="s">
        <v>1008</v>
      </c>
      <c r="D126" s="18" t="s">
        <v>1009</v>
      </c>
      <c r="E126" s="18" t="s">
        <v>1010</v>
      </c>
      <c r="F126" s="18" t="s">
        <v>378</v>
      </c>
      <c r="G126" s="18" t="s">
        <v>237</v>
      </c>
      <c r="H126" s="18" t="s">
        <v>168</v>
      </c>
      <c r="I126" s="18" t="s">
        <v>1011</v>
      </c>
      <c r="J126" s="18" t="s">
        <v>1012</v>
      </c>
      <c r="K126" s="18" t="s">
        <v>1013</v>
      </c>
      <c r="L126" s="19">
        <v>73680</v>
      </c>
    </row>
    <row r="127" spans="1:12" ht="18" customHeight="1">
      <c r="A127" s="16" t="s">
        <v>1014</v>
      </c>
      <c r="B127" s="17" t="s">
        <v>1015</v>
      </c>
      <c r="C127" s="18" t="s">
        <v>1016</v>
      </c>
      <c r="D127" s="18" t="s">
        <v>1017</v>
      </c>
      <c r="E127" s="18" t="s">
        <v>1018</v>
      </c>
      <c r="F127" s="18" t="s">
        <v>378</v>
      </c>
      <c r="G127" s="18" t="s">
        <v>237</v>
      </c>
      <c r="H127" s="18" t="s">
        <v>351</v>
      </c>
      <c r="I127" s="18" t="s">
        <v>1019</v>
      </c>
      <c r="J127" s="18" t="s">
        <v>1020</v>
      </c>
      <c r="K127" s="18" t="s">
        <v>1021</v>
      </c>
      <c r="L127" s="19">
        <v>62890</v>
      </c>
    </row>
    <row r="128" spans="1:12" ht="18" customHeight="1">
      <c r="A128" s="16" t="s">
        <v>1022</v>
      </c>
      <c r="B128" s="17" t="s">
        <v>1023</v>
      </c>
      <c r="C128" s="18" t="s">
        <v>56</v>
      </c>
      <c r="D128" s="18" t="s">
        <v>1024</v>
      </c>
      <c r="E128" s="18" t="s">
        <v>1025</v>
      </c>
      <c r="F128" s="18" t="s">
        <v>350</v>
      </c>
      <c r="G128" s="18" t="s">
        <v>60</v>
      </c>
      <c r="H128" s="18" t="s">
        <v>253</v>
      </c>
      <c r="I128" s="18" t="s">
        <v>1026</v>
      </c>
      <c r="J128" s="18" t="s">
        <v>1027</v>
      </c>
      <c r="K128" s="18" t="s">
        <v>1028</v>
      </c>
      <c r="L128" s="19">
        <v>14410</v>
      </c>
    </row>
    <row r="129" spans="1:12" ht="18" customHeight="1">
      <c r="A129" s="16" t="s">
        <v>1029</v>
      </c>
      <c r="B129" s="17" t="s">
        <v>1030</v>
      </c>
      <c r="C129" s="18" t="s">
        <v>56</v>
      </c>
      <c r="D129" s="18" t="s">
        <v>1031</v>
      </c>
      <c r="E129" s="18" t="s">
        <v>1032</v>
      </c>
      <c r="F129" s="18" t="s">
        <v>1033</v>
      </c>
      <c r="G129" s="18" t="s">
        <v>60</v>
      </c>
      <c r="H129" s="18" t="s">
        <v>84</v>
      </c>
      <c r="I129" s="18" t="s">
        <v>1034</v>
      </c>
      <c r="J129" s="18" t="s">
        <v>1035</v>
      </c>
      <c r="K129" s="18" t="s">
        <v>1036</v>
      </c>
      <c r="L129" s="19">
        <v>24027</v>
      </c>
    </row>
    <row r="130" spans="1:12" ht="18" customHeight="1">
      <c r="A130" s="16" t="s">
        <v>1037</v>
      </c>
      <c r="B130" s="17" t="s">
        <v>1038</v>
      </c>
      <c r="C130" s="18" t="s">
        <v>56</v>
      </c>
      <c r="D130" s="18" t="s">
        <v>1039</v>
      </c>
      <c r="E130" s="18" t="s">
        <v>1040</v>
      </c>
      <c r="F130" s="18" t="s">
        <v>1033</v>
      </c>
      <c r="G130" s="18" t="s">
        <v>60</v>
      </c>
      <c r="H130" s="18" t="s">
        <v>114</v>
      </c>
      <c r="I130" s="18" t="s">
        <v>1034</v>
      </c>
      <c r="J130" s="18" t="s">
        <v>1041</v>
      </c>
      <c r="K130" s="18" t="s">
        <v>114</v>
      </c>
      <c r="L130" s="19">
        <v>28010</v>
      </c>
    </row>
    <row r="131" spans="1:12" ht="18" customHeight="1">
      <c r="A131" s="16" t="s">
        <v>1042</v>
      </c>
      <c r="B131" s="17" t="s">
        <v>1043</v>
      </c>
      <c r="C131" s="18" t="s">
        <v>56</v>
      </c>
      <c r="D131" s="18" t="s">
        <v>1044</v>
      </c>
      <c r="E131" s="18" t="s">
        <v>1045</v>
      </c>
      <c r="F131" s="18" t="s">
        <v>1033</v>
      </c>
      <c r="G131" s="18" t="s">
        <v>60</v>
      </c>
      <c r="H131" s="18" t="s">
        <v>351</v>
      </c>
      <c r="I131" s="18" t="s">
        <v>1034</v>
      </c>
      <c r="J131" s="18" t="s">
        <v>1046</v>
      </c>
      <c r="K131" s="18" t="s">
        <v>1047</v>
      </c>
      <c r="L131" s="19">
        <v>62000</v>
      </c>
    </row>
    <row r="132" spans="1:12" ht="18" customHeight="1">
      <c r="A132" s="16" t="s">
        <v>1048</v>
      </c>
      <c r="B132" s="17" t="s">
        <v>1049</v>
      </c>
      <c r="C132" s="18" t="s">
        <v>56</v>
      </c>
      <c r="D132" s="18" t="s">
        <v>1050</v>
      </c>
      <c r="E132" s="18" t="s">
        <v>1051</v>
      </c>
      <c r="F132" s="18" t="s">
        <v>1033</v>
      </c>
      <c r="G132" s="18" t="s">
        <v>60</v>
      </c>
      <c r="H132" s="18" t="s">
        <v>504</v>
      </c>
      <c r="I132" s="18" t="s">
        <v>1052</v>
      </c>
      <c r="J132" s="18" t="s">
        <v>1053</v>
      </c>
      <c r="K132" s="18" t="s">
        <v>1054</v>
      </c>
      <c r="L132" s="19">
        <v>81020</v>
      </c>
    </row>
    <row r="133" spans="1:12" ht="18" customHeight="1">
      <c r="A133" s="16" t="s">
        <v>1055</v>
      </c>
      <c r="B133" s="17" t="s">
        <v>1056</v>
      </c>
      <c r="C133" s="18" t="s">
        <v>56</v>
      </c>
      <c r="D133" s="18" t="s">
        <v>350</v>
      </c>
      <c r="E133" s="18" t="s">
        <v>1057</v>
      </c>
      <c r="F133" s="18" t="s">
        <v>1033</v>
      </c>
      <c r="G133" s="18" t="s">
        <v>60</v>
      </c>
      <c r="H133" s="18" t="s">
        <v>253</v>
      </c>
      <c r="I133" s="18" t="s">
        <v>1058</v>
      </c>
      <c r="J133" s="18" t="s">
        <v>1059</v>
      </c>
      <c r="K133" s="18" t="s">
        <v>1060</v>
      </c>
      <c r="L133" s="19">
        <v>11590</v>
      </c>
    </row>
    <row r="134" spans="1:12" ht="18" customHeight="1">
      <c r="A134" s="16" t="s">
        <v>1061</v>
      </c>
      <c r="B134" s="17" t="s">
        <v>1062</v>
      </c>
      <c r="C134" s="18" t="s">
        <v>56</v>
      </c>
      <c r="D134" s="18" t="s">
        <v>1063</v>
      </c>
      <c r="E134" s="18" t="s">
        <v>1064</v>
      </c>
      <c r="F134" s="18" t="s">
        <v>1065</v>
      </c>
      <c r="G134" s="18" t="s">
        <v>60</v>
      </c>
      <c r="H134" s="18" t="s">
        <v>504</v>
      </c>
      <c r="I134" s="18" t="s">
        <v>1066</v>
      </c>
      <c r="J134" s="18" t="s">
        <v>1067</v>
      </c>
      <c r="K134" s="18" t="s">
        <v>894</v>
      </c>
      <c r="L134" s="19">
        <v>80140</v>
      </c>
    </row>
    <row r="135" spans="1:12" ht="18" customHeight="1">
      <c r="A135" s="16" t="s">
        <v>1068</v>
      </c>
      <c r="B135" s="17" t="s">
        <v>1069</v>
      </c>
      <c r="C135" s="18" t="s">
        <v>56</v>
      </c>
      <c r="D135" s="18" t="s">
        <v>1070</v>
      </c>
      <c r="E135" s="18" t="s">
        <v>1071</v>
      </c>
      <c r="F135" s="18" t="s">
        <v>1065</v>
      </c>
      <c r="G135" s="18" t="s">
        <v>60</v>
      </c>
      <c r="H135" s="18" t="s">
        <v>136</v>
      </c>
      <c r="I135" s="18" t="s">
        <v>1072</v>
      </c>
      <c r="J135" s="18" t="s">
        <v>1073</v>
      </c>
      <c r="K135" s="18" t="s">
        <v>139</v>
      </c>
      <c r="L135" s="19">
        <v>39610</v>
      </c>
    </row>
    <row r="136" spans="1:12" ht="18" customHeight="1">
      <c r="A136" s="16" t="s">
        <v>1074</v>
      </c>
      <c r="B136" s="17" t="s">
        <v>1075</v>
      </c>
      <c r="C136" s="18" t="s">
        <v>56</v>
      </c>
      <c r="D136" s="18" t="s">
        <v>1076</v>
      </c>
      <c r="E136" s="18" t="s">
        <v>1077</v>
      </c>
      <c r="F136" s="18" t="s">
        <v>1065</v>
      </c>
      <c r="G136" s="18" t="s">
        <v>60</v>
      </c>
      <c r="H136" s="18" t="s">
        <v>294</v>
      </c>
      <c r="I136" s="18" t="s">
        <v>1078</v>
      </c>
      <c r="J136" s="18" t="s">
        <v>1079</v>
      </c>
      <c r="K136" s="18" t="s">
        <v>1080</v>
      </c>
      <c r="L136" s="19">
        <v>56230</v>
      </c>
    </row>
    <row r="137" spans="1:12" ht="18" customHeight="1">
      <c r="A137" s="16" t="s">
        <v>1081</v>
      </c>
      <c r="B137" s="17" t="s">
        <v>1082</v>
      </c>
      <c r="C137" s="18" t="s">
        <v>56</v>
      </c>
      <c r="D137" s="18" t="s">
        <v>1083</v>
      </c>
      <c r="E137" s="18" t="s">
        <v>1084</v>
      </c>
      <c r="F137" s="18" t="s">
        <v>1065</v>
      </c>
      <c r="G137" s="18" t="s">
        <v>60</v>
      </c>
      <c r="H137" s="18" t="s">
        <v>351</v>
      </c>
      <c r="I137" s="18" t="s">
        <v>1085</v>
      </c>
      <c r="J137" s="18" t="s">
        <v>1086</v>
      </c>
      <c r="K137" s="18" t="s">
        <v>1047</v>
      </c>
      <c r="L137" s="19">
        <v>62470</v>
      </c>
    </row>
    <row r="138" spans="1:12" ht="18" customHeight="1">
      <c r="A138" s="16" t="s">
        <v>1087</v>
      </c>
      <c r="B138" s="17" t="s">
        <v>1088</v>
      </c>
      <c r="C138" s="18" t="s">
        <v>56</v>
      </c>
      <c r="D138" s="18" t="s">
        <v>1089</v>
      </c>
      <c r="E138" s="18" t="s">
        <v>1090</v>
      </c>
      <c r="F138" s="18" t="s">
        <v>1065</v>
      </c>
      <c r="G138" s="18" t="s">
        <v>60</v>
      </c>
      <c r="H138" s="18" t="s">
        <v>121</v>
      </c>
      <c r="I138" s="18" t="s">
        <v>1091</v>
      </c>
      <c r="J138" s="18" t="s">
        <v>1092</v>
      </c>
      <c r="K138" s="18" t="s">
        <v>121</v>
      </c>
      <c r="L138" s="19">
        <v>34000</v>
      </c>
    </row>
    <row r="139" spans="1:12" ht="18" customHeight="1">
      <c r="A139" s="16" t="s">
        <v>1093</v>
      </c>
      <c r="B139" s="17" t="s">
        <v>1094</v>
      </c>
      <c r="C139" s="18" t="s">
        <v>56</v>
      </c>
      <c r="D139" s="18" t="s">
        <v>1095</v>
      </c>
      <c r="E139" s="18" t="s">
        <v>1096</v>
      </c>
      <c r="F139" s="18" t="s">
        <v>1065</v>
      </c>
      <c r="G139" s="18" t="s">
        <v>60</v>
      </c>
      <c r="H139" s="18" t="s">
        <v>294</v>
      </c>
      <c r="I139" s="18" t="s">
        <v>1097</v>
      </c>
      <c r="J139" s="18" t="s">
        <v>1098</v>
      </c>
      <c r="K139" s="18" t="s">
        <v>1099</v>
      </c>
      <c r="L139" s="19">
        <v>55400</v>
      </c>
    </row>
    <row r="140" spans="1:12" ht="18" customHeight="1">
      <c r="A140" s="16" t="s">
        <v>1100</v>
      </c>
      <c r="B140" s="17" t="s">
        <v>1101</v>
      </c>
      <c r="C140" s="18" t="s">
        <v>56</v>
      </c>
      <c r="D140" s="18" t="s">
        <v>1102</v>
      </c>
      <c r="E140" s="18" t="s">
        <v>1103</v>
      </c>
      <c r="F140" s="18" t="s">
        <v>1065</v>
      </c>
      <c r="G140" s="18" t="s">
        <v>60</v>
      </c>
      <c r="H140" s="18" t="s">
        <v>121</v>
      </c>
      <c r="I140" s="18" t="s">
        <v>1104</v>
      </c>
      <c r="J140" s="18" t="s">
        <v>1105</v>
      </c>
      <c r="K140" s="18" t="s">
        <v>1106</v>
      </c>
      <c r="L140" s="19">
        <v>35030</v>
      </c>
    </row>
    <row r="141" spans="1:12" ht="18" customHeight="1">
      <c r="A141" s="16" t="s">
        <v>1107</v>
      </c>
      <c r="B141" s="17" t="s">
        <v>1108</v>
      </c>
      <c r="C141" s="18" t="s">
        <v>56</v>
      </c>
      <c r="D141" s="18" t="s">
        <v>1109</v>
      </c>
      <c r="E141" s="18" t="s">
        <v>1110</v>
      </c>
      <c r="F141" s="18" t="s">
        <v>1065</v>
      </c>
      <c r="G141" s="18" t="s">
        <v>60</v>
      </c>
      <c r="H141" s="18" t="s">
        <v>197</v>
      </c>
      <c r="I141" s="18" t="s">
        <v>1111</v>
      </c>
      <c r="J141" s="18" t="s">
        <v>1112</v>
      </c>
      <c r="K141" s="18" t="s">
        <v>200</v>
      </c>
      <c r="L141" s="19">
        <v>83000</v>
      </c>
    </row>
    <row r="142" spans="1:12" ht="18" customHeight="1">
      <c r="A142" s="16" t="s">
        <v>1113</v>
      </c>
      <c r="B142" s="17" t="s">
        <v>1114</v>
      </c>
      <c r="C142" s="18" t="s">
        <v>56</v>
      </c>
      <c r="D142" s="18" t="s">
        <v>1115</v>
      </c>
      <c r="E142" s="18" t="s">
        <v>1116</v>
      </c>
      <c r="F142" s="18" t="s">
        <v>1065</v>
      </c>
      <c r="G142" s="18" t="s">
        <v>60</v>
      </c>
      <c r="H142" s="18" t="s">
        <v>253</v>
      </c>
      <c r="I142" s="18" t="s">
        <v>1117</v>
      </c>
      <c r="J142" s="18" t="s">
        <v>1118</v>
      </c>
      <c r="K142" s="18" t="s">
        <v>1028</v>
      </c>
      <c r="L142" s="19">
        <v>14050</v>
      </c>
    </row>
    <row r="143" spans="1:12" ht="18" customHeight="1">
      <c r="A143" s="16" t="s">
        <v>1119</v>
      </c>
      <c r="B143" s="17" t="s">
        <v>1120</v>
      </c>
      <c r="C143" s="18" t="s">
        <v>56</v>
      </c>
      <c r="D143" s="18" t="s">
        <v>1121</v>
      </c>
      <c r="E143" s="18" t="s">
        <v>1122</v>
      </c>
      <c r="F143" s="18" t="s">
        <v>1065</v>
      </c>
      <c r="G143" s="18" t="s">
        <v>60</v>
      </c>
      <c r="H143" s="18" t="s">
        <v>160</v>
      </c>
      <c r="I143" s="18" t="s">
        <v>1123</v>
      </c>
      <c r="J143" s="18" t="s">
        <v>929</v>
      </c>
      <c r="K143" s="18" t="s">
        <v>930</v>
      </c>
      <c r="L143" s="19">
        <v>64380</v>
      </c>
    </row>
    <row r="144" spans="1:12" ht="18" customHeight="1">
      <c r="A144" s="16" t="s">
        <v>1124</v>
      </c>
      <c r="B144" s="17" t="s">
        <v>1125</v>
      </c>
      <c r="C144" s="18" t="s">
        <v>56</v>
      </c>
      <c r="D144" s="18" t="s">
        <v>1126</v>
      </c>
      <c r="E144" s="18" t="s">
        <v>1127</v>
      </c>
      <c r="F144" s="18" t="s">
        <v>1065</v>
      </c>
      <c r="G144" s="18" t="s">
        <v>60</v>
      </c>
      <c r="H144" s="18" t="s">
        <v>168</v>
      </c>
      <c r="I144" s="18" t="s">
        <v>1128</v>
      </c>
      <c r="J144" s="18" t="s">
        <v>1129</v>
      </c>
      <c r="K144" s="18" t="s">
        <v>168</v>
      </c>
      <c r="L144" s="19">
        <v>72140</v>
      </c>
    </row>
    <row r="145" spans="1:12" ht="18" customHeight="1">
      <c r="A145" s="16" t="s">
        <v>1130</v>
      </c>
      <c r="B145" s="17" t="s">
        <v>1131</v>
      </c>
      <c r="C145" s="18" t="s">
        <v>56</v>
      </c>
      <c r="D145" s="18" t="s">
        <v>1132</v>
      </c>
      <c r="E145" s="18" t="s">
        <v>1133</v>
      </c>
      <c r="F145" s="18" t="s">
        <v>1065</v>
      </c>
      <c r="G145" s="18" t="s">
        <v>60</v>
      </c>
      <c r="H145" s="18" t="s">
        <v>221</v>
      </c>
      <c r="I145" s="18" t="s">
        <v>1134</v>
      </c>
      <c r="J145" s="18" t="s">
        <v>1135</v>
      </c>
      <c r="K145" s="18" t="s">
        <v>221</v>
      </c>
      <c r="L145" s="19">
        <v>90300</v>
      </c>
    </row>
    <row r="146" spans="1:12" ht="18" customHeight="1">
      <c r="A146" s="16" t="s">
        <v>1136</v>
      </c>
      <c r="B146" s="17" t="s">
        <v>1137</v>
      </c>
      <c r="C146" s="18" t="s">
        <v>56</v>
      </c>
      <c r="D146" s="18" t="s">
        <v>1138</v>
      </c>
      <c r="E146" s="18" t="s">
        <v>1139</v>
      </c>
      <c r="F146" s="18" t="s">
        <v>1065</v>
      </c>
      <c r="G146" s="18" t="s">
        <v>60</v>
      </c>
      <c r="H146" s="18" t="s">
        <v>175</v>
      </c>
      <c r="I146" s="18" t="s">
        <v>1140</v>
      </c>
      <c r="J146" s="18" t="s">
        <v>1141</v>
      </c>
      <c r="K146" s="18" t="s">
        <v>1142</v>
      </c>
      <c r="L146" s="19">
        <v>76000</v>
      </c>
    </row>
    <row r="147" spans="1:12" ht="18" customHeight="1">
      <c r="A147" s="16" t="s">
        <v>1143</v>
      </c>
      <c r="B147" s="17" t="s">
        <v>1144</v>
      </c>
      <c r="C147" s="18" t="s">
        <v>56</v>
      </c>
      <c r="D147" s="18" t="s">
        <v>1145</v>
      </c>
      <c r="E147" s="18" t="s">
        <v>1146</v>
      </c>
      <c r="F147" s="18" t="s">
        <v>1065</v>
      </c>
      <c r="G147" s="18" t="s">
        <v>60</v>
      </c>
      <c r="H147" s="18" t="s">
        <v>253</v>
      </c>
      <c r="I147" s="18" t="s">
        <v>1147</v>
      </c>
      <c r="J147" s="18" t="s">
        <v>1148</v>
      </c>
      <c r="K147" s="18" t="s">
        <v>1060</v>
      </c>
      <c r="L147" s="19">
        <v>11850</v>
      </c>
    </row>
    <row r="148" spans="1:12" ht="18" customHeight="1">
      <c r="A148" s="16" t="s">
        <v>1149</v>
      </c>
      <c r="B148" s="17" t="s">
        <v>1150</v>
      </c>
      <c r="C148" s="18" t="s">
        <v>56</v>
      </c>
      <c r="D148" s="18" t="s">
        <v>1151</v>
      </c>
      <c r="E148" s="18" t="s">
        <v>1152</v>
      </c>
      <c r="F148" s="18" t="s">
        <v>1065</v>
      </c>
      <c r="G148" s="18" t="s">
        <v>60</v>
      </c>
      <c r="H148" s="18" t="s">
        <v>1153</v>
      </c>
      <c r="I148" s="18" t="s">
        <v>1154</v>
      </c>
      <c r="J148" s="18" t="s">
        <v>1155</v>
      </c>
      <c r="K148" s="18" t="s">
        <v>1153</v>
      </c>
      <c r="L148" s="19">
        <v>68000</v>
      </c>
    </row>
    <row r="149" spans="1:12" ht="18" customHeight="1">
      <c r="A149" s="16" t="s">
        <v>1156</v>
      </c>
      <c r="B149" s="17" t="s">
        <v>1157</v>
      </c>
      <c r="C149" s="18" t="s">
        <v>56</v>
      </c>
      <c r="D149" s="18" t="s">
        <v>1158</v>
      </c>
      <c r="E149" s="18" t="s">
        <v>1159</v>
      </c>
      <c r="F149" s="18" t="s">
        <v>1065</v>
      </c>
      <c r="G149" s="18" t="s">
        <v>60</v>
      </c>
      <c r="H149" s="18" t="s">
        <v>294</v>
      </c>
      <c r="I149" s="18" t="s">
        <v>1160</v>
      </c>
      <c r="J149" s="18" t="s">
        <v>1161</v>
      </c>
      <c r="K149" s="18" t="s">
        <v>1162</v>
      </c>
      <c r="L149" s="19">
        <v>50080</v>
      </c>
    </row>
    <row r="150" spans="1:12" ht="18" customHeight="1">
      <c r="A150" s="16" t="s">
        <v>1163</v>
      </c>
      <c r="B150" s="17" t="s">
        <v>1164</v>
      </c>
      <c r="C150" s="18" t="s">
        <v>56</v>
      </c>
      <c r="D150" s="18" t="s">
        <v>1165</v>
      </c>
      <c r="E150" s="18" t="s">
        <v>1166</v>
      </c>
      <c r="F150" s="18" t="s">
        <v>1065</v>
      </c>
      <c r="G150" s="18" t="s">
        <v>60</v>
      </c>
      <c r="H150" s="18" t="s">
        <v>106</v>
      </c>
      <c r="I150" s="18" t="s">
        <v>1167</v>
      </c>
      <c r="J150" s="18" t="s">
        <v>1168</v>
      </c>
      <c r="K150" s="18" t="s">
        <v>289</v>
      </c>
      <c r="L150" s="19">
        <v>27087</v>
      </c>
    </row>
    <row r="151" spans="1:12" ht="18" customHeight="1">
      <c r="A151" s="16" t="s">
        <v>1169</v>
      </c>
      <c r="B151" s="17" t="s">
        <v>1170</v>
      </c>
      <c r="C151" s="18" t="s">
        <v>56</v>
      </c>
      <c r="D151" s="18" t="s">
        <v>1171</v>
      </c>
      <c r="E151" s="18" t="s">
        <v>1172</v>
      </c>
      <c r="F151" s="18" t="s">
        <v>1065</v>
      </c>
      <c r="G151" s="18" t="s">
        <v>60</v>
      </c>
      <c r="H151" s="18" t="s">
        <v>632</v>
      </c>
      <c r="I151" s="18" t="s">
        <v>1173</v>
      </c>
      <c r="J151" s="18" t="s">
        <v>1174</v>
      </c>
      <c r="K151" s="18" t="s">
        <v>915</v>
      </c>
      <c r="L151" s="19">
        <v>44280</v>
      </c>
    </row>
    <row r="152" spans="1:12" ht="18" customHeight="1">
      <c r="A152" s="16" t="s">
        <v>1175</v>
      </c>
      <c r="B152" s="17" t="s">
        <v>1176</v>
      </c>
      <c r="C152" s="18" t="s">
        <v>56</v>
      </c>
      <c r="D152" s="18" t="s">
        <v>1177</v>
      </c>
      <c r="E152" s="18" t="s">
        <v>1178</v>
      </c>
      <c r="F152" s="18" t="s">
        <v>1065</v>
      </c>
      <c r="G152" s="18" t="s">
        <v>60</v>
      </c>
      <c r="H152" s="18" t="s">
        <v>616</v>
      </c>
      <c r="I152" s="18" t="s">
        <v>1179</v>
      </c>
      <c r="J152" s="18" t="s">
        <v>1180</v>
      </c>
      <c r="K152" s="18" t="s">
        <v>1181</v>
      </c>
      <c r="L152" s="19">
        <v>91000</v>
      </c>
    </row>
    <row r="153" spans="1:12" ht="18" customHeight="1">
      <c r="A153" s="16" t="s">
        <v>1182</v>
      </c>
      <c r="B153" s="17" t="s">
        <v>1183</v>
      </c>
      <c r="C153" s="18" t="s">
        <v>56</v>
      </c>
      <c r="D153" s="18" t="s">
        <v>1184</v>
      </c>
      <c r="E153" s="18" t="s">
        <v>1185</v>
      </c>
      <c r="F153" s="18" t="s">
        <v>1065</v>
      </c>
      <c r="G153" s="18" t="s">
        <v>60</v>
      </c>
      <c r="H153" s="18" t="s">
        <v>1186</v>
      </c>
      <c r="I153" s="18" t="s">
        <v>1187</v>
      </c>
      <c r="J153" s="18" t="s">
        <v>1188</v>
      </c>
      <c r="K153" s="18" t="s">
        <v>1189</v>
      </c>
      <c r="L153" s="19">
        <v>58000</v>
      </c>
    </row>
    <row r="154" spans="1:12" ht="18" customHeight="1">
      <c r="A154" s="16" t="s">
        <v>1190</v>
      </c>
      <c r="B154" s="17" t="s">
        <v>1191</v>
      </c>
      <c r="C154" s="18" t="s">
        <v>56</v>
      </c>
      <c r="D154" s="18" t="s">
        <v>1192</v>
      </c>
      <c r="E154" s="18" t="s">
        <v>1193</v>
      </c>
      <c r="F154" s="18" t="s">
        <v>350</v>
      </c>
      <c r="G154" s="18" t="s">
        <v>60</v>
      </c>
      <c r="H154" s="18" t="s">
        <v>128</v>
      </c>
      <c r="I154" s="18" t="s">
        <v>1194</v>
      </c>
      <c r="J154" s="18" t="s">
        <v>1195</v>
      </c>
      <c r="K154" s="18" t="s">
        <v>128</v>
      </c>
      <c r="L154" s="19">
        <v>36000</v>
      </c>
    </row>
    <row r="155" spans="1:12" ht="18" customHeight="1">
      <c r="A155" s="16" t="s">
        <v>1196</v>
      </c>
      <c r="B155" s="17" t="s">
        <v>1197</v>
      </c>
      <c r="C155" s="18" t="s">
        <v>56</v>
      </c>
      <c r="D155" s="18" t="s">
        <v>350</v>
      </c>
      <c r="E155" s="18" t="s">
        <v>1198</v>
      </c>
      <c r="F155" s="18" t="s">
        <v>350</v>
      </c>
      <c r="G155" s="18" t="s">
        <v>237</v>
      </c>
      <c r="H155" s="18" t="s">
        <v>144</v>
      </c>
      <c r="I155" s="18" t="s">
        <v>1199</v>
      </c>
      <c r="J155" s="18" t="s">
        <v>1200</v>
      </c>
      <c r="K155" s="18" t="s">
        <v>147</v>
      </c>
      <c r="L155" s="19">
        <v>97219</v>
      </c>
    </row>
    <row r="156" spans="1:12" ht="18" customHeight="1">
      <c r="A156" s="16" t="s">
        <v>1201</v>
      </c>
      <c r="B156" s="17" t="s">
        <v>1202</v>
      </c>
      <c r="C156" s="18" t="s">
        <v>1203</v>
      </c>
      <c r="D156" s="18" t="s">
        <v>1204</v>
      </c>
      <c r="E156" s="18" t="s">
        <v>1205</v>
      </c>
      <c r="F156" s="18" t="s">
        <v>1206</v>
      </c>
      <c r="G156" s="18" t="s">
        <v>237</v>
      </c>
      <c r="H156" s="18" t="s">
        <v>253</v>
      </c>
      <c r="I156" s="18" t="s">
        <v>1207</v>
      </c>
      <c r="J156" s="18" t="s">
        <v>1208</v>
      </c>
      <c r="K156" s="18" t="s">
        <v>281</v>
      </c>
      <c r="L156" s="19" t="s">
        <v>1209</v>
      </c>
    </row>
    <row r="157" spans="1:12" ht="18" customHeight="1">
      <c r="A157" s="16" t="s">
        <v>1210</v>
      </c>
      <c r="B157" s="17" t="s">
        <v>1211</v>
      </c>
      <c r="C157" s="18" t="s">
        <v>1212</v>
      </c>
      <c r="D157" s="18" t="s">
        <v>1213</v>
      </c>
      <c r="E157" s="18" t="s">
        <v>1214</v>
      </c>
      <c r="F157" s="18" t="s">
        <v>1206</v>
      </c>
      <c r="G157" s="18" t="s">
        <v>237</v>
      </c>
      <c r="H157" s="18" t="s">
        <v>253</v>
      </c>
      <c r="I157" s="18" t="s">
        <v>1215</v>
      </c>
      <c r="J157" s="18" t="s">
        <v>1216</v>
      </c>
      <c r="K157" s="18" t="s">
        <v>1217</v>
      </c>
      <c r="L157" s="19" t="s">
        <v>1218</v>
      </c>
    </row>
    <row r="158" spans="1:12" ht="18" customHeight="1">
      <c r="A158" s="16" t="s">
        <v>1219</v>
      </c>
      <c r="B158" s="17" t="s">
        <v>1220</v>
      </c>
      <c r="C158" s="18" t="s">
        <v>1221</v>
      </c>
      <c r="D158" s="18" t="s">
        <v>1222</v>
      </c>
      <c r="E158" s="18" t="s">
        <v>1223</v>
      </c>
      <c r="F158" s="18" t="s">
        <v>1206</v>
      </c>
      <c r="G158" s="18" t="s">
        <v>237</v>
      </c>
      <c r="H158" s="18" t="s">
        <v>253</v>
      </c>
      <c r="I158" s="18" t="s">
        <v>1224</v>
      </c>
      <c r="J158" s="18" t="s">
        <v>1225</v>
      </c>
      <c r="K158" s="18" t="s">
        <v>1226</v>
      </c>
      <c r="L158" s="19">
        <v>1030</v>
      </c>
    </row>
    <row r="159" spans="1:12" ht="18" customHeight="1">
      <c r="A159" s="16" t="s">
        <v>1227</v>
      </c>
      <c r="B159" s="17" t="s">
        <v>1228</v>
      </c>
      <c r="C159" s="18" t="s">
        <v>1229</v>
      </c>
      <c r="D159" s="18" t="s">
        <v>1230</v>
      </c>
      <c r="E159" s="18" t="s">
        <v>1231</v>
      </c>
      <c r="F159" s="18" t="s">
        <v>1206</v>
      </c>
      <c r="G159" s="18" t="s">
        <v>237</v>
      </c>
      <c r="H159" s="18" t="s">
        <v>182</v>
      </c>
      <c r="I159" s="18" t="s">
        <v>1224</v>
      </c>
      <c r="J159" s="18" t="s">
        <v>1232</v>
      </c>
      <c r="K159" s="18" t="s">
        <v>185</v>
      </c>
      <c r="L159" s="19">
        <v>77039</v>
      </c>
    </row>
    <row r="160" spans="1:12" ht="18" customHeight="1">
      <c r="A160" s="16" t="s">
        <v>1233</v>
      </c>
      <c r="B160" s="17" t="s">
        <v>1234</v>
      </c>
      <c r="C160" s="18" t="s">
        <v>1235</v>
      </c>
      <c r="D160" s="18" t="s">
        <v>1236</v>
      </c>
      <c r="E160" s="18" t="s">
        <v>1237</v>
      </c>
      <c r="F160" s="18" t="s">
        <v>1206</v>
      </c>
      <c r="G160" s="18" t="s">
        <v>237</v>
      </c>
      <c r="H160" s="18" t="s">
        <v>253</v>
      </c>
      <c r="I160" s="18" t="s">
        <v>1238</v>
      </c>
      <c r="J160" s="18" t="s">
        <v>1239</v>
      </c>
      <c r="K160" s="18" t="s">
        <v>338</v>
      </c>
      <c r="L160" s="19" t="s">
        <v>1240</v>
      </c>
    </row>
    <row r="161" spans="1:12" ht="18" customHeight="1">
      <c r="A161" s="16" t="s">
        <v>1241</v>
      </c>
      <c r="B161" s="17" t="s">
        <v>1242</v>
      </c>
      <c r="C161" s="18" t="s">
        <v>1243</v>
      </c>
      <c r="D161" s="18" t="s">
        <v>1244</v>
      </c>
      <c r="E161" s="18" t="s">
        <v>1245</v>
      </c>
      <c r="F161" s="18" t="s">
        <v>1206</v>
      </c>
      <c r="G161" s="18" t="s">
        <v>237</v>
      </c>
      <c r="H161" s="18" t="s">
        <v>253</v>
      </c>
      <c r="I161" s="18" t="s">
        <v>1246</v>
      </c>
      <c r="J161" s="18" t="s">
        <v>1247</v>
      </c>
      <c r="K161" s="18" t="s">
        <v>1060</v>
      </c>
      <c r="L161" s="19">
        <v>11870</v>
      </c>
    </row>
    <row r="162" spans="1:12" ht="18" customHeight="1">
      <c r="A162" s="16" t="s">
        <v>1248</v>
      </c>
      <c r="B162" s="17" t="s">
        <v>1249</v>
      </c>
      <c r="C162" s="18" t="s">
        <v>1250</v>
      </c>
      <c r="D162" s="18" t="s">
        <v>1251</v>
      </c>
      <c r="E162" s="18" t="s">
        <v>1252</v>
      </c>
      <c r="F162" s="18" t="s">
        <v>1206</v>
      </c>
      <c r="G162" s="18" t="s">
        <v>237</v>
      </c>
      <c r="H162" s="18" t="s">
        <v>253</v>
      </c>
      <c r="I162" s="18" t="s">
        <v>1253</v>
      </c>
      <c r="J162" s="18" t="s">
        <v>1254</v>
      </c>
      <c r="K162" s="18" t="s">
        <v>281</v>
      </c>
      <c r="L162" s="19" t="s">
        <v>282</v>
      </c>
    </row>
    <row r="163" spans="1:12" ht="18" customHeight="1">
      <c r="A163" s="16" t="s">
        <v>1255</v>
      </c>
      <c r="B163" s="17" t="s">
        <v>1256</v>
      </c>
      <c r="C163" s="18" t="s">
        <v>1257</v>
      </c>
      <c r="D163" s="18" t="s">
        <v>1258</v>
      </c>
      <c r="E163" s="18" t="s">
        <v>1259</v>
      </c>
      <c r="F163" s="18" t="s">
        <v>1206</v>
      </c>
      <c r="G163" s="18" t="s">
        <v>237</v>
      </c>
      <c r="H163" s="18" t="s">
        <v>632</v>
      </c>
      <c r="I163" s="18" t="s">
        <v>1260</v>
      </c>
      <c r="J163" s="18" t="s">
        <v>1261</v>
      </c>
      <c r="K163" s="18" t="s">
        <v>915</v>
      </c>
      <c r="L163" s="19">
        <v>44379</v>
      </c>
    </row>
    <row r="164" spans="1:12" ht="18" customHeight="1">
      <c r="A164" s="16" t="s">
        <v>1262</v>
      </c>
      <c r="B164" s="17" t="s">
        <v>1263</v>
      </c>
      <c r="C164" s="18" t="s">
        <v>1264</v>
      </c>
      <c r="D164" s="18" t="s">
        <v>1265</v>
      </c>
      <c r="E164" s="18" t="s">
        <v>1266</v>
      </c>
      <c r="F164" s="18" t="s">
        <v>1206</v>
      </c>
      <c r="G164" s="18" t="s">
        <v>237</v>
      </c>
      <c r="H164" s="18" t="s">
        <v>253</v>
      </c>
      <c r="I164" s="18" t="s">
        <v>1267</v>
      </c>
      <c r="J164" s="18" t="s">
        <v>1268</v>
      </c>
      <c r="K164" s="18" t="s">
        <v>281</v>
      </c>
      <c r="L164" s="19" t="s">
        <v>1269</v>
      </c>
    </row>
    <row r="165" spans="1:12" ht="18" customHeight="1">
      <c r="A165" s="16" t="s">
        <v>1270</v>
      </c>
      <c r="B165" s="17" t="s">
        <v>1271</v>
      </c>
      <c r="C165" s="18" t="s">
        <v>1272</v>
      </c>
      <c r="D165" s="18" t="s">
        <v>1273</v>
      </c>
      <c r="E165" s="18" t="s">
        <v>1274</v>
      </c>
      <c r="F165" s="18" t="s">
        <v>1206</v>
      </c>
      <c r="G165" s="18" t="s">
        <v>237</v>
      </c>
      <c r="H165" s="18" t="s">
        <v>253</v>
      </c>
      <c r="I165" s="18" t="s">
        <v>1275</v>
      </c>
      <c r="J165" s="18" t="s">
        <v>1276</v>
      </c>
      <c r="K165" s="18" t="s">
        <v>1277</v>
      </c>
      <c r="L165" s="19" t="s">
        <v>1278</v>
      </c>
    </row>
    <row r="166" spans="1:12" ht="18" customHeight="1">
      <c r="A166" s="16" t="s">
        <v>1279</v>
      </c>
      <c r="B166" s="17" t="s">
        <v>1280</v>
      </c>
      <c r="C166" s="18" t="s">
        <v>1281</v>
      </c>
      <c r="D166" s="18" t="s">
        <v>1282</v>
      </c>
      <c r="E166" s="18" t="s">
        <v>1283</v>
      </c>
      <c r="F166" s="18" t="s">
        <v>1206</v>
      </c>
      <c r="G166" s="18" t="s">
        <v>237</v>
      </c>
      <c r="H166" s="18" t="s">
        <v>253</v>
      </c>
      <c r="I166" s="18" t="s">
        <v>1284</v>
      </c>
      <c r="J166" s="18" t="s">
        <v>1118</v>
      </c>
      <c r="K166" s="18" t="s">
        <v>1028</v>
      </c>
      <c r="L166" s="19">
        <v>14050</v>
      </c>
    </row>
    <row r="167" spans="1:12" ht="18" customHeight="1">
      <c r="A167" s="16" t="s">
        <v>1285</v>
      </c>
      <c r="B167" s="17" t="s">
        <v>1286</v>
      </c>
      <c r="C167" s="18" t="s">
        <v>1287</v>
      </c>
      <c r="D167" s="18" t="s">
        <v>1288</v>
      </c>
      <c r="E167" s="18" t="s">
        <v>1289</v>
      </c>
      <c r="F167" s="18" t="s">
        <v>1206</v>
      </c>
      <c r="G167" s="18" t="s">
        <v>237</v>
      </c>
      <c r="H167" s="18" t="s">
        <v>253</v>
      </c>
      <c r="I167" s="18" t="s">
        <v>1290</v>
      </c>
      <c r="J167" s="18" t="s">
        <v>1291</v>
      </c>
      <c r="K167" s="18" t="s">
        <v>281</v>
      </c>
      <c r="L167" s="19" t="s">
        <v>339</v>
      </c>
    </row>
    <row r="168" spans="1:12" ht="18" customHeight="1">
      <c r="A168" s="16" t="s">
        <v>1292</v>
      </c>
      <c r="B168" s="17" t="s">
        <v>1293</v>
      </c>
      <c r="C168" s="18" t="s">
        <v>56</v>
      </c>
      <c r="D168" s="18" t="s">
        <v>350</v>
      </c>
      <c r="E168" s="18" t="s">
        <v>1294</v>
      </c>
      <c r="F168" s="18" t="s">
        <v>350</v>
      </c>
      <c r="G168" s="18" t="s">
        <v>237</v>
      </c>
      <c r="H168" s="18" t="s">
        <v>253</v>
      </c>
      <c r="I168" s="18" t="s">
        <v>1295</v>
      </c>
      <c r="J168" s="18" t="s">
        <v>1296</v>
      </c>
      <c r="K168" s="18" t="s">
        <v>330</v>
      </c>
      <c r="L168" s="19" t="s">
        <v>1297</v>
      </c>
    </row>
    <row r="169" spans="1:12" ht="18" customHeight="1">
      <c r="A169" s="16" t="s">
        <v>1298</v>
      </c>
      <c r="B169" s="17" t="s">
        <v>1299</v>
      </c>
      <c r="C169" s="18" t="s">
        <v>56</v>
      </c>
      <c r="D169" s="18" t="s">
        <v>350</v>
      </c>
      <c r="E169" s="18" t="s">
        <v>1300</v>
      </c>
      <c r="F169" s="18" t="s">
        <v>350</v>
      </c>
      <c r="G169" s="18" t="s">
        <v>60</v>
      </c>
      <c r="H169" s="18" t="s">
        <v>253</v>
      </c>
      <c r="I169" s="18" t="s">
        <v>1301</v>
      </c>
      <c r="J169" s="18" t="s">
        <v>1302</v>
      </c>
      <c r="K169" s="18" t="s">
        <v>1060</v>
      </c>
      <c r="L169" s="19">
        <v>11320</v>
      </c>
    </row>
    <row r="170" spans="1:12" ht="18" customHeight="1">
      <c r="A170" s="16" t="s">
        <v>1303</v>
      </c>
      <c r="B170" s="17" t="s">
        <v>1304</v>
      </c>
      <c r="C170" s="18" t="s">
        <v>56</v>
      </c>
      <c r="D170" s="18" t="s">
        <v>350</v>
      </c>
      <c r="E170" s="18" t="s">
        <v>1305</v>
      </c>
      <c r="F170" s="18" t="s">
        <v>350</v>
      </c>
      <c r="G170" s="18" t="s">
        <v>60</v>
      </c>
      <c r="H170" s="18" t="s">
        <v>253</v>
      </c>
      <c r="I170" s="18" t="s">
        <v>1306</v>
      </c>
      <c r="J170" s="18" t="s">
        <v>1307</v>
      </c>
      <c r="K170" s="18" t="s">
        <v>330</v>
      </c>
      <c r="L170" s="19" t="s">
        <v>331</v>
      </c>
    </row>
    <row r="171" spans="1:12" ht="18" customHeight="1">
      <c r="A171" s="16" t="s">
        <v>1308</v>
      </c>
      <c r="B171" s="17" t="s">
        <v>1309</v>
      </c>
      <c r="C171" s="18" t="s">
        <v>56</v>
      </c>
      <c r="D171" s="18" t="s">
        <v>350</v>
      </c>
      <c r="E171" s="18" t="s">
        <v>1310</v>
      </c>
      <c r="F171" s="18" t="s">
        <v>350</v>
      </c>
      <c r="G171" s="18" t="s">
        <v>60</v>
      </c>
      <c r="H171" s="18" t="s">
        <v>253</v>
      </c>
      <c r="I171" s="18" t="s">
        <v>1311</v>
      </c>
      <c r="J171" s="18" t="s">
        <v>1312</v>
      </c>
      <c r="K171" s="18" t="s">
        <v>1028</v>
      </c>
      <c r="L171" s="19">
        <v>14410</v>
      </c>
    </row>
    <row r="172" spans="1:12" ht="18" customHeight="1">
      <c r="A172" s="16" t="s">
        <v>1313</v>
      </c>
      <c r="B172" s="17"/>
      <c r="C172" s="18" t="s">
        <v>56</v>
      </c>
      <c r="D172" s="18" t="s">
        <v>1314</v>
      </c>
      <c r="E172" s="18" t="s">
        <v>1315</v>
      </c>
      <c r="F172" s="18"/>
      <c r="G172" s="18" t="s">
        <v>60</v>
      </c>
      <c r="H172" s="18" t="s">
        <v>351</v>
      </c>
      <c r="I172" s="18" t="s">
        <v>1316</v>
      </c>
      <c r="J172" s="18" t="s">
        <v>1317</v>
      </c>
      <c r="K172" s="18" t="s">
        <v>1318</v>
      </c>
      <c r="L172" s="19">
        <v>62914</v>
      </c>
    </row>
    <row r="173" spans="1:12" ht="18" customHeight="1">
      <c r="A173" s="16" t="s">
        <v>1319</v>
      </c>
      <c r="B173" s="17" t="s">
        <v>1320</v>
      </c>
      <c r="C173" s="18" t="s">
        <v>1321</v>
      </c>
      <c r="D173" s="18" t="s">
        <v>1322</v>
      </c>
      <c r="E173" s="18" t="s">
        <v>1323</v>
      </c>
      <c r="F173" s="18" t="s">
        <v>1324</v>
      </c>
      <c r="G173" s="18" t="s">
        <v>237</v>
      </c>
      <c r="H173" s="18" t="s">
        <v>213</v>
      </c>
      <c r="I173" s="18" t="s">
        <v>1325</v>
      </c>
      <c r="J173" s="18" t="s">
        <v>1326</v>
      </c>
      <c r="K173" s="18" t="s">
        <v>1327</v>
      </c>
      <c r="L173" s="19">
        <v>88000</v>
      </c>
    </row>
    <row r="174" spans="1:12" ht="18" customHeight="1">
      <c r="A174" s="16" t="s">
        <v>1328</v>
      </c>
      <c r="B174" s="17" t="s">
        <v>1329</v>
      </c>
      <c r="C174" s="18" t="s">
        <v>1330</v>
      </c>
      <c r="D174" s="18" t="s">
        <v>1331</v>
      </c>
      <c r="E174" s="18" t="s">
        <v>1332</v>
      </c>
      <c r="F174" s="18" t="s">
        <v>1324</v>
      </c>
      <c r="G174" s="18" t="s">
        <v>237</v>
      </c>
      <c r="H174" s="18" t="s">
        <v>1186</v>
      </c>
      <c r="I174" s="18" t="s">
        <v>1333</v>
      </c>
      <c r="J174" s="18" t="s">
        <v>1334</v>
      </c>
      <c r="K174" s="18" t="s">
        <v>1335</v>
      </c>
      <c r="L174" s="19">
        <v>60630</v>
      </c>
    </row>
    <row r="175" spans="1:12" ht="18" customHeight="1">
      <c r="A175" s="16" t="s">
        <v>1336</v>
      </c>
      <c r="B175" s="17" t="s">
        <v>1337</v>
      </c>
      <c r="C175" s="18" t="s">
        <v>1338</v>
      </c>
      <c r="D175" s="18" t="s">
        <v>1339</v>
      </c>
      <c r="E175" s="18" t="s">
        <v>1340</v>
      </c>
      <c r="F175" s="18" t="s">
        <v>1324</v>
      </c>
      <c r="G175" s="18" t="s">
        <v>237</v>
      </c>
      <c r="H175" s="18" t="s">
        <v>76</v>
      </c>
      <c r="I175" s="18" t="s">
        <v>1341</v>
      </c>
      <c r="J175" s="18" t="s">
        <v>1342</v>
      </c>
      <c r="K175" s="18" t="s">
        <v>1343</v>
      </c>
      <c r="L175" s="19">
        <v>23473</v>
      </c>
    </row>
    <row r="176" spans="1:12" ht="18" customHeight="1">
      <c r="A176" s="16" t="s">
        <v>1344</v>
      </c>
      <c r="B176" s="17" t="s">
        <v>1345</v>
      </c>
      <c r="C176" s="18" t="s">
        <v>1346</v>
      </c>
      <c r="D176" s="18" t="s">
        <v>1347</v>
      </c>
      <c r="E176" s="18" t="s">
        <v>1348</v>
      </c>
      <c r="F176" s="18" t="s">
        <v>1324</v>
      </c>
      <c r="G176" s="18" t="s">
        <v>237</v>
      </c>
      <c r="H176" s="18" t="s">
        <v>182</v>
      </c>
      <c r="I176" s="18" t="s">
        <v>1349</v>
      </c>
      <c r="J176" s="18" t="s">
        <v>1350</v>
      </c>
      <c r="K176" s="18" t="s">
        <v>1351</v>
      </c>
      <c r="L176" s="19">
        <v>77500</v>
      </c>
    </row>
    <row r="177" spans="1:12" ht="18" customHeight="1">
      <c r="A177" s="16" t="s">
        <v>1352</v>
      </c>
      <c r="B177" s="17" t="s">
        <v>1353</v>
      </c>
      <c r="C177" s="18" t="s">
        <v>1354</v>
      </c>
      <c r="D177" s="18" t="s">
        <v>1355</v>
      </c>
      <c r="E177" s="18" t="s">
        <v>1356</v>
      </c>
      <c r="F177" s="18" t="s">
        <v>1324</v>
      </c>
      <c r="G177" s="18" t="s">
        <v>237</v>
      </c>
      <c r="H177" s="18" t="s">
        <v>76</v>
      </c>
      <c r="I177" s="18" t="s">
        <v>1357</v>
      </c>
      <c r="J177" s="18" t="s">
        <v>1358</v>
      </c>
      <c r="K177" s="18" t="s">
        <v>1359</v>
      </c>
      <c r="L177" s="19">
        <v>23670</v>
      </c>
    </row>
    <row r="178" spans="1:12" ht="18" customHeight="1">
      <c r="A178" s="16" t="s">
        <v>1360</v>
      </c>
      <c r="B178" s="17" t="s">
        <v>1361</v>
      </c>
      <c r="C178" s="18" t="s">
        <v>1362</v>
      </c>
      <c r="D178" s="18" t="s">
        <v>1363</v>
      </c>
      <c r="E178" s="18" t="s">
        <v>1364</v>
      </c>
      <c r="F178" s="18" t="s">
        <v>1324</v>
      </c>
      <c r="G178" s="18" t="s">
        <v>237</v>
      </c>
      <c r="H178" s="18" t="s">
        <v>99</v>
      </c>
      <c r="I178" s="18" t="s">
        <v>1365</v>
      </c>
      <c r="J178" s="18" t="s">
        <v>1366</v>
      </c>
      <c r="K178" s="18" t="s">
        <v>762</v>
      </c>
      <c r="L178" s="19">
        <v>31560</v>
      </c>
    </row>
    <row r="179" spans="1:12" ht="18" customHeight="1">
      <c r="A179" s="16" t="s">
        <v>1367</v>
      </c>
      <c r="B179" s="17" t="s">
        <v>1368</v>
      </c>
      <c r="C179" s="18" t="s">
        <v>1369</v>
      </c>
      <c r="D179" s="18" t="s">
        <v>1370</v>
      </c>
      <c r="E179" s="18" t="s">
        <v>1371</v>
      </c>
      <c r="F179" s="18" t="s">
        <v>1324</v>
      </c>
      <c r="G179" s="18" t="s">
        <v>237</v>
      </c>
      <c r="H179" s="18" t="s">
        <v>84</v>
      </c>
      <c r="I179" s="18" t="s">
        <v>1372</v>
      </c>
      <c r="J179" s="18" t="s">
        <v>1373</v>
      </c>
      <c r="K179" s="18" t="s">
        <v>1374</v>
      </c>
      <c r="L179" s="19">
        <v>24180</v>
      </c>
    </row>
    <row r="180" spans="1:12" ht="18" customHeight="1">
      <c r="A180" s="16" t="s">
        <v>1375</v>
      </c>
      <c r="B180" s="17" t="s">
        <v>1376</v>
      </c>
      <c r="C180" s="18" t="s">
        <v>1377</v>
      </c>
      <c r="D180" s="18" t="s">
        <v>1378</v>
      </c>
      <c r="E180" s="18" t="s">
        <v>1379</v>
      </c>
      <c r="F180" s="18" t="s">
        <v>1324</v>
      </c>
      <c r="G180" s="18" t="s">
        <v>237</v>
      </c>
      <c r="H180" s="18" t="s">
        <v>99</v>
      </c>
      <c r="I180" s="18" t="s">
        <v>1380</v>
      </c>
      <c r="J180" s="18" t="s">
        <v>1381</v>
      </c>
      <c r="K180" s="18" t="s">
        <v>1382</v>
      </c>
      <c r="L180" s="19">
        <v>33065</v>
      </c>
    </row>
    <row r="181" spans="1:12" ht="18" customHeight="1">
      <c r="A181" s="16" t="s">
        <v>1383</v>
      </c>
      <c r="B181" s="17" t="s">
        <v>1384</v>
      </c>
      <c r="C181" s="18" t="s">
        <v>1385</v>
      </c>
      <c r="D181" s="18" t="s">
        <v>1386</v>
      </c>
      <c r="E181" s="18" t="s">
        <v>1387</v>
      </c>
      <c r="F181" s="18" t="s">
        <v>1324</v>
      </c>
      <c r="G181" s="18" t="s">
        <v>237</v>
      </c>
      <c r="H181" s="18" t="s">
        <v>632</v>
      </c>
      <c r="I181" s="18" t="s">
        <v>1388</v>
      </c>
      <c r="J181" s="18" t="s">
        <v>1389</v>
      </c>
      <c r="K181" s="18" t="s">
        <v>1390</v>
      </c>
      <c r="L181" s="19">
        <v>49045</v>
      </c>
    </row>
    <row r="182" spans="1:12" ht="18" customHeight="1">
      <c r="A182" s="16" t="s">
        <v>1391</v>
      </c>
      <c r="B182" s="17" t="s">
        <v>1392</v>
      </c>
      <c r="C182" s="18" t="s">
        <v>1393</v>
      </c>
      <c r="D182" s="18" t="s">
        <v>1394</v>
      </c>
      <c r="E182" s="18" t="s">
        <v>1395</v>
      </c>
      <c r="F182" s="18" t="s">
        <v>1324</v>
      </c>
      <c r="G182" s="18" t="s">
        <v>237</v>
      </c>
      <c r="H182" s="18" t="s">
        <v>213</v>
      </c>
      <c r="I182" s="18" t="s">
        <v>1396</v>
      </c>
      <c r="J182" s="18" t="s">
        <v>1397</v>
      </c>
      <c r="K182" s="18" t="s">
        <v>1398</v>
      </c>
      <c r="L182" s="19">
        <v>89850</v>
      </c>
    </row>
    <row r="183" spans="1:12" ht="18" customHeight="1">
      <c r="A183" s="16" t="s">
        <v>1399</v>
      </c>
      <c r="B183" s="17" t="s">
        <v>1400</v>
      </c>
      <c r="C183" s="18" t="s">
        <v>1401</v>
      </c>
      <c r="D183" s="18" t="s">
        <v>1402</v>
      </c>
      <c r="E183" s="18" t="s">
        <v>1403</v>
      </c>
      <c r="F183" s="18" t="s">
        <v>1324</v>
      </c>
      <c r="G183" s="18" t="s">
        <v>237</v>
      </c>
      <c r="H183" s="18" t="s">
        <v>197</v>
      </c>
      <c r="I183" s="18" t="s">
        <v>1404</v>
      </c>
      <c r="J183" s="18" t="s">
        <v>1405</v>
      </c>
      <c r="K183" s="18" t="s">
        <v>1406</v>
      </c>
      <c r="L183" s="19">
        <v>85040</v>
      </c>
    </row>
    <row r="184" spans="1:12" ht="18" customHeight="1">
      <c r="A184" s="16" t="s">
        <v>1407</v>
      </c>
      <c r="B184" s="17" t="s">
        <v>1408</v>
      </c>
      <c r="C184" s="18" t="s">
        <v>1409</v>
      </c>
      <c r="D184" s="18" t="s">
        <v>1410</v>
      </c>
      <c r="E184" s="18" t="s">
        <v>1411</v>
      </c>
      <c r="F184" s="18" t="s">
        <v>1324</v>
      </c>
      <c r="G184" s="18" t="s">
        <v>237</v>
      </c>
      <c r="H184" s="18" t="s">
        <v>106</v>
      </c>
      <c r="I184" s="18" t="s">
        <v>1412</v>
      </c>
      <c r="J184" s="18" t="s">
        <v>1413</v>
      </c>
      <c r="K184" s="18" t="s">
        <v>1414</v>
      </c>
      <c r="L184" s="19">
        <v>26759</v>
      </c>
    </row>
    <row r="185" spans="1:12" ht="18" customHeight="1">
      <c r="A185" s="16" t="s">
        <v>1415</v>
      </c>
      <c r="B185" s="17" t="s">
        <v>1416</v>
      </c>
      <c r="C185" s="18" t="s">
        <v>1417</v>
      </c>
      <c r="D185" s="18" t="s">
        <v>1418</v>
      </c>
      <c r="E185" s="18" t="s">
        <v>1419</v>
      </c>
      <c r="F185" s="18" t="s">
        <v>1324</v>
      </c>
      <c r="G185" s="18" t="s">
        <v>237</v>
      </c>
      <c r="H185" s="18" t="s">
        <v>190</v>
      </c>
      <c r="I185" s="18" t="s">
        <v>1420</v>
      </c>
      <c r="J185" s="18" t="s">
        <v>1421</v>
      </c>
      <c r="K185" s="18" t="s">
        <v>317</v>
      </c>
      <c r="L185" s="19">
        <v>79050</v>
      </c>
    </row>
    <row r="186" spans="1:12" ht="18" customHeight="1">
      <c r="A186" s="16" t="s">
        <v>1422</v>
      </c>
      <c r="B186" s="17" t="s">
        <v>1423</v>
      </c>
      <c r="C186" s="18" t="s">
        <v>1424</v>
      </c>
      <c r="D186" s="18" t="s">
        <v>1425</v>
      </c>
      <c r="E186" s="18" t="s">
        <v>1426</v>
      </c>
      <c r="F186" s="18" t="s">
        <v>1324</v>
      </c>
      <c r="G186" s="18" t="s">
        <v>237</v>
      </c>
      <c r="H186" s="18" t="s">
        <v>213</v>
      </c>
      <c r="I186" s="18" t="s">
        <v>1427</v>
      </c>
      <c r="J186" s="18" t="s">
        <v>1428</v>
      </c>
      <c r="K186" s="18" t="s">
        <v>216</v>
      </c>
      <c r="L186" s="19">
        <v>87020</v>
      </c>
    </row>
    <row r="187" spans="1:12" ht="18" customHeight="1">
      <c r="A187" s="16" t="s">
        <v>1429</v>
      </c>
      <c r="B187" s="17" t="s">
        <v>1430</v>
      </c>
      <c r="C187" s="18" t="s">
        <v>1431</v>
      </c>
      <c r="D187" s="18" t="s">
        <v>1432</v>
      </c>
      <c r="E187" s="18" t="s">
        <v>1433</v>
      </c>
      <c r="F187" s="18" t="s">
        <v>1324</v>
      </c>
      <c r="G187" s="18" t="s">
        <v>237</v>
      </c>
      <c r="H187" s="18" t="s">
        <v>128</v>
      </c>
      <c r="I187" s="18" t="s">
        <v>1434</v>
      </c>
      <c r="J187" s="18" t="s">
        <v>1435</v>
      </c>
      <c r="K187" s="18" t="s">
        <v>131</v>
      </c>
      <c r="L187" s="19">
        <v>38020</v>
      </c>
    </row>
    <row r="188" spans="1:12" ht="18" customHeight="1">
      <c r="A188" s="16" t="s">
        <v>1436</v>
      </c>
      <c r="B188" s="17" t="s">
        <v>1437</v>
      </c>
      <c r="C188" s="18" t="s">
        <v>1438</v>
      </c>
      <c r="D188" s="18" t="s">
        <v>1439</v>
      </c>
      <c r="E188" s="18" t="s">
        <v>1440</v>
      </c>
      <c r="F188" s="18" t="s">
        <v>1324</v>
      </c>
      <c r="G188" s="18" t="s">
        <v>237</v>
      </c>
      <c r="H188" s="18" t="s">
        <v>182</v>
      </c>
      <c r="I188" s="18" t="s">
        <v>1441</v>
      </c>
      <c r="J188" s="18" t="s">
        <v>1442</v>
      </c>
      <c r="K188" s="18" t="s">
        <v>185</v>
      </c>
      <c r="L188" s="19">
        <v>77020</v>
      </c>
    </row>
    <row r="189" spans="1:12" ht="18" customHeight="1">
      <c r="A189" s="16" t="s">
        <v>1443</v>
      </c>
      <c r="B189" s="17" t="s">
        <v>1444</v>
      </c>
      <c r="C189" s="18" t="s">
        <v>1445</v>
      </c>
      <c r="D189" s="18" t="s">
        <v>1446</v>
      </c>
      <c r="E189" s="18" t="s">
        <v>1447</v>
      </c>
      <c r="F189" s="18" t="s">
        <v>1324</v>
      </c>
      <c r="G189" s="18" t="s">
        <v>237</v>
      </c>
      <c r="H189" s="18" t="s">
        <v>136</v>
      </c>
      <c r="I189" s="18" t="s">
        <v>1448</v>
      </c>
      <c r="J189" s="18" t="s">
        <v>1449</v>
      </c>
      <c r="K189" s="18" t="s">
        <v>1450</v>
      </c>
      <c r="L189" s="19">
        <v>39090</v>
      </c>
    </row>
    <row r="190" spans="1:12" ht="18" customHeight="1">
      <c r="A190" s="16" t="s">
        <v>1451</v>
      </c>
      <c r="B190" s="17" t="s">
        <v>1452</v>
      </c>
      <c r="C190" s="18" t="s">
        <v>1453</v>
      </c>
      <c r="D190" s="18" t="s">
        <v>1454</v>
      </c>
      <c r="E190" s="18" t="s">
        <v>1455</v>
      </c>
      <c r="F190" s="18" t="s">
        <v>1324</v>
      </c>
      <c r="G190" s="18" t="s">
        <v>237</v>
      </c>
      <c r="H190" s="18" t="s">
        <v>616</v>
      </c>
      <c r="I190" s="18" t="s">
        <v>1456</v>
      </c>
      <c r="J190" s="18" t="s">
        <v>1457</v>
      </c>
      <c r="K190" s="18" t="s">
        <v>1458</v>
      </c>
      <c r="L190" s="19">
        <v>96410</v>
      </c>
    </row>
    <row r="191" spans="1:12" ht="18" customHeight="1">
      <c r="A191" s="16" t="s">
        <v>1459</v>
      </c>
      <c r="B191" s="17" t="s">
        <v>1460</v>
      </c>
      <c r="C191" s="18" t="s">
        <v>1461</v>
      </c>
      <c r="D191" s="18" t="s">
        <v>1462</v>
      </c>
      <c r="E191" s="18" t="s">
        <v>1463</v>
      </c>
      <c r="F191" s="18" t="s">
        <v>1324</v>
      </c>
      <c r="G191" s="18" t="s">
        <v>237</v>
      </c>
      <c r="H191" s="18" t="s">
        <v>91</v>
      </c>
      <c r="I191" s="18" t="s">
        <v>1464</v>
      </c>
      <c r="J191" s="18" t="s">
        <v>1465</v>
      </c>
      <c r="K191" s="18" t="s">
        <v>1466</v>
      </c>
      <c r="L191" s="19">
        <v>30030</v>
      </c>
    </row>
    <row r="192" spans="1:12" ht="18" customHeight="1">
      <c r="A192" s="16" t="s">
        <v>1467</v>
      </c>
      <c r="B192" s="17" t="s">
        <v>1468</v>
      </c>
      <c r="C192" s="18" t="s">
        <v>1469</v>
      </c>
      <c r="D192" s="18" t="s">
        <v>1470</v>
      </c>
      <c r="E192" s="18" t="s">
        <v>1471</v>
      </c>
      <c r="F192" s="18" t="s">
        <v>1324</v>
      </c>
      <c r="G192" s="18" t="s">
        <v>237</v>
      </c>
      <c r="H192" s="18" t="s">
        <v>160</v>
      </c>
      <c r="I192" s="18" t="s">
        <v>1472</v>
      </c>
      <c r="J192" s="18" t="s">
        <v>1473</v>
      </c>
      <c r="K192" s="18" t="s">
        <v>930</v>
      </c>
      <c r="L192" s="19">
        <v>64060</v>
      </c>
    </row>
    <row r="193" spans="1:12" ht="18" customHeight="1">
      <c r="A193" s="16" t="s">
        <v>1474</v>
      </c>
      <c r="B193" s="17" t="s">
        <v>1475</v>
      </c>
      <c r="C193" s="18" t="s">
        <v>1476</v>
      </c>
      <c r="D193" s="18" t="s">
        <v>1477</v>
      </c>
      <c r="E193" s="18" t="s">
        <v>1478</v>
      </c>
      <c r="F193" s="18" t="s">
        <v>1324</v>
      </c>
      <c r="G193" s="18" t="s">
        <v>237</v>
      </c>
      <c r="H193" s="18" t="s">
        <v>213</v>
      </c>
      <c r="I193" s="18" t="s">
        <v>1479</v>
      </c>
      <c r="J193" s="18" t="s">
        <v>1480</v>
      </c>
      <c r="K193" s="18" t="s">
        <v>1481</v>
      </c>
      <c r="L193" s="19">
        <v>88600</v>
      </c>
    </row>
    <row r="194" spans="1:12" ht="18" customHeight="1">
      <c r="A194" s="16" t="s">
        <v>1482</v>
      </c>
      <c r="B194" s="17" t="s">
        <v>1483</v>
      </c>
      <c r="C194" s="18" t="s">
        <v>1484</v>
      </c>
      <c r="D194" s="18" t="s">
        <v>1485</v>
      </c>
      <c r="E194" s="18" t="s">
        <v>1486</v>
      </c>
      <c r="F194" s="18" t="s">
        <v>1324</v>
      </c>
      <c r="G194" s="18" t="s">
        <v>237</v>
      </c>
      <c r="H194" s="18" t="s">
        <v>213</v>
      </c>
      <c r="I194" s="18" t="s">
        <v>1487</v>
      </c>
      <c r="J194" s="18" t="s">
        <v>1488</v>
      </c>
      <c r="K194" s="18" t="s">
        <v>1489</v>
      </c>
      <c r="L194" s="19">
        <v>87350</v>
      </c>
    </row>
    <row r="195" spans="1:12" ht="18" customHeight="1">
      <c r="A195" s="16" t="s">
        <v>1490</v>
      </c>
      <c r="B195" s="17" t="s">
        <v>1491</v>
      </c>
      <c r="C195" s="18" t="s">
        <v>1492</v>
      </c>
      <c r="D195" s="18" t="s">
        <v>1493</v>
      </c>
      <c r="E195" s="18" t="s">
        <v>1494</v>
      </c>
      <c r="F195" s="18" t="s">
        <v>1324</v>
      </c>
      <c r="G195" s="18" t="s">
        <v>237</v>
      </c>
      <c r="H195" s="18" t="s">
        <v>114</v>
      </c>
      <c r="I195" s="18" t="s">
        <v>1495</v>
      </c>
      <c r="J195" s="18" t="s">
        <v>1496</v>
      </c>
      <c r="K195" s="18" t="s">
        <v>114</v>
      </c>
      <c r="L195" s="19">
        <v>28010</v>
      </c>
    </row>
    <row r="196" spans="1:12" ht="18" customHeight="1">
      <c r="A196" s="16" t="s">
        <v>1497</v>
      </c>
      <c r="B196" s="17" t="s">
        <v>1498</v>
      </c>
      <c r="C196" s="18" t="s">
        <v>1499</v>
      </c>
      <c r="D196" s="18" t="s">
        <v>1500</v>
      </c>
      <c r="E196" s="18" t="s">
        <v>1501</v>
      </c>
      <c r="F196" s="18" t="s">
        <v>1324</v>
      </c>
      <c r="G196" s="18" t="s">
        <v>237</v>
      </c>
      <c r="H196" s="18" t="s">
        <v>84</v>
      </c>
      <c r="I196" s="18" t="s">
        <v>1502</v>
      </c>
      <c r="J196" s="18" t="s">
        <v>1503</v>
      </c>
      <c r="K196" s="18" t="s">
        <v>84</v>
      </c>
      <c r="L196" s="19">
        <v>24030</v>
      </c>
    </row>
    <row r="197" spans="1:12" ht="18" customHeight="1">
      <c r="A197" s="16" t="s">
        <v>1504</v>
      </c>
      <c r="B197" s="17" t="s">
        <v>1505</v>
      </c>
      <c r="C197" s="18" t="s">
        <v>1506</v>
      </c>
      <c r="D197" s="18" t="s">
        <v>1507</v>
      </c>
      <c r="E197" s="18" t="s">
        <v>1508</v>
      </c>
      <c r="F197" s="18" t="s">
        <v>1324</v>
      </c>
      <c r="G197" s="18" t="s">
        <v>237</v>
      </c>
      <c r="H197" s="18" t="s">
        <v>351</v>
      </c>
      <c r="I197" s="18" t="s">
        <v>1509</v>
      </c>
      <c r="J197" s="18" t="s">
        <v>1510</v>
      </c>
      <c r="K197" s="18" t="s">
        <v>1021</v>
      </c>
      <c r="L197" s="19">
        <v>62740</v>
      </c>
    </row>
    <row r="198" spans="1:12" ht="18" customHeight="1">
      <c r="A198" s="16" t="s">
        <v>1511</v>
      </c>
      <c r="B198" s="17" t="s">
        <v>1512</v>
      </c>
      <c r="C198" s="18" t="s">
        <v>1513</v>
      </c>
      <c r="D198" s="18" t="s">
        <v>1514</v>
      </c>
      <c r="E198" s="18" t="s">
        <v>1515</v>
      </c>
      <c r="F198" s="18" t="s">
        <v>1324</v>
      </c>
      <c r="G198" s="18" t="s">
        <v>237</v>
      </c>
      <c r="H198" s="18" t="s">
        <v>91</v>
      </c>
      <c r="I198" s="18" t="s">
        <v>1516</v>
      </c>
      <c r="J198" s="18" t="s">
        <v>1517</v>
      </c>
      <c r="K198" s="18" t="s">
        <v>1518</v>
      </c>
      <c r="L198" s="19">
        <v>30740</v>
      </c>
    </row>
    <row r="199" spans="1:12" ht="18" customHeight="1">
      <c r="A199" s="16" t="s">
        <v>1519</v>
      </c>
      <c r="B199" s="17" t="s">
        <v>1520</v>
      </c>
      <c r="C199" s="18" t="s">
        <v>1521</v>
      </c>
      <c r="D199" s="18" t="s">
        <v>1522</v>
      </c>
      <c r="E199" s="18" t="s">
        <v>1523</v>
      </c>
      <c r="F199" s="18" t="s">
        <v>1324</v>
      </c>
      <c r="G199" s="18" t="s">
        <v>237</v>
      </c>
      <c r="H199" s="18" t="s">
        <v>68</v>
      </c>
      <c r="I199" s="18" t="s">
        <v>1524</v>
      </c>
      <c r="J199" s="18" t="s">
        <v>1525</v>
      </c>
      <c r="K199" s="18" t="s">
        <v>1526</v>
      </c>
      <c r="L199" s="19">
        <v>22830</v>
      </c>
    </row>
    <row r="200" spans="1:12" ht="18" customHeight="1">
      <c r="A200" s="16" t="s">
        <v>1527</v>
      </c>
      <c r="B200" s="17" t="s">
        <v>1528</v>
      </c>
      <c r="C200" s="18" t="s">
        <v>1529</v>
      </c>
      <c r="D200" s="18" t="s">
        <v>1530</v>
      </c>
      <c r="E200" s="18" t="s">
        <v>1531</v>
      </c>
      <c r="F200" s="18" t="s">
        <v>1324</v>
      </c>
      <c r="G200" s="18" t="s">
        <v>237</v>
      </c>
      <c r="H200" s="18" t="s">
        <v>228</v>
      </c>
      <c r="I200" s="18" t="s">
        <v>1532</v>
      </c>
      <c r="J200" s="18" t="s">
        <v>1533</v>
      </c>
      <c r="K200" s="18" t="s">
        <v>1534</v>
      </c>
      <c r="L200" s="19">
        <v>99040</v>
      </c>
    </row>
    <row r="201" spans="1:12" ht="18" customHeight="1">
      <c r="A201" s="16" t="s">
        <v>1535</v>
      </c>
      <c r="B201" s="17" t="s">
        <v>1536</v>
      </c>
      <c r="C201" s="18" t="s">
        <v>1537</v>
      </c>
      <c r="D201" s="18" t="s">
        <v>1538</v>
      </c>
      <c r="E201" s="18" t="s">
        <v>1539</v>
      </c>
      <c r="F201" s="18" t="s">
        <v>1324</v>
      </c>
      <c r="G201" s="18" t="s">
        <v>237</v>
      </c>
      <c r="H201" s="18" t="s">
        <v>121</v>
      </c>
      <c r="I201" s="18" t="s">
        <v>1540</v>
      </c>
      <c r="J201" s="18" t="s">
        <v>1541</v>
      </c>
      <c r="K201" s="18" t="s">
        <v>1106</v>
      </c>
      <c r="L201" s="19">
        <v>35000</v>
      </c>
    </row>
    <row r="202" spans="1:12" ht="18" customHeight="1">
      <c r="A202" s="16" t="s">
        <v>1542</v>
      </c>
      <c r="B202" s="17" t="s">
        <v>1543</v>
      </c>
      <c r="C202" s="18" t="s">
        <v>1544</v>
      </c>
      <c r="D202" s="18" t="s">
        <v>1545</v>
      </c>
      <c r="E202" s="18" t="s">
        <v>1546</v>
      </c>
      <c r="F202" s="18" t="s">
        <v>1324</v>
      </c>
      <c r="G202" s="18" t="s">
        <v>237</v>
      </c>
      <c r="H202" s="18" t="s">
        <v>128</v>
      </c>
      <c r="I202" s="18" t="s">
        <v>1547</v>
      </c>
      <c r="J202" s="18" t="s">
        <v>1548</v>
      </c>
      <c r="K202" s="18" t="s">
        <v>128</v>
      </c>
      <c r="L202" s="19">
        <v>36000</v>
      </c>
    </row>
    <row r="203" spans="1:12" ht="18" customHeight="1">
      <c r="A203" s="16" t="s">
        <v>1549</v>
      </c>
      <c r="B203" s="17" t="s">
        <v>1550</v>
      </c>
      <c r="C203" s="18" t="s">
        <v>1551</v>
      </c>
      <c r="D203" s="18" t="s">
        <v>1552</v>
      </c>
      <c r="E203" s="18" t="s">
        <v>1553</v>
      </c>
      <c r="F203" s="18" t="s">
        <v>1324</v>
      </c>
      <c r="G203" s="18" t="s">
        <v>237</v>
      </c>
      <c r="H203" s="18" t="s">
        <v>197</v>
      </c>
      <c r="I203" s="18" t="s">
        <v>1554</v>
      </c>
      <c r="J203" s="18" t="s">
        <v>1555</v>
      </c>
      <c r="K203" s="18" t="s">
        <v>1556</v>
      </c>
      <c r="L203" s="19">
        <v>85440</v>
      </c>
    </row>
    <row r="204" spans="1:12" ht="18" customHeight="1">
      <c r="A204" s="16" t="s">
        <v>1557</v>
      </c>
      <c r="B204" s="17" t="s">
        <v>1558</v>
      </c>
      <c r="C204" s="18" t="s">
        <v>1559</v>
      </c>
      <c r="D204" s="18" t="s">
        <v>1560</v>
      </c>
      <c r="E204" s="18" t="s">
        <v>1561</v>
      </c>
      <c r="F204" s="18" t="s">
        <v>1324</v>
      </c>
      <c r="G204" s="18" t="s">
        <v>237</v>
      </c>
      <c r="H204" s="18" t="s">
        <v>99</v>
      </c>
      <c r="I204" s="18" t="s">
        <v>1562</v>
      </c>
      <c r="J204" s="18" t="s">
        <v>1563</v>
      </c>
      <c r="K204" s="18" t="s">
        <v>1564</v>
      </c>
      <c r="L204" s="19">
        <v>33880</v>
      </c>
    </row>
    <row r="205" spans="1:12" ht="18" customHeight="1">
      <c r="A205" s="16" t="s">
        <v>1565</v>
      </c>
      <c r="B205" s="17" t="s">
        <v>1566</v>
      </c>
      <c r="C205" s="18" t="s">
        <v>1567</v>
      </c>
      <c r="D205" s="18" t="s">
        <v>1568</v>
      </c>
      <c r="E205" s="18" t="s">
        <v>1569</v>
      </c>
      <c r="F205" s="18" t="s">
        <v>1324</v>
      </c>
      <c r="G205" s="18" t="s">
        <v>237</v>
      </c>
      <c r="H205" s="18" t="s">
        <v>1153</v>
      </c>
      <c r="I205" s="18" t="s">
        <v>1570</v>
      </c>
      <c r="J205" s="18" t="s">
        <v>1571</v>
      </c>
      <c r="K205" s="18" t="s">
        <v>1572</v>
      </c>
      <c r="L205" s="19">
        <v>69000</v>
      </c>
    </row>
    <row r="206" spans="1:12" ht="18" customHeight="1">
      <c r="A206" s="16" t="s">
        <v>1573</v>
      </c>
      <c r="B206" s="17" t="s">
        <v>1574</v>
      </c>
      <c r="C206" s="18" t="s">
        <v>1575</v>
      </c>
      <c r="D206" s="18" t="s">
        <v>1576</v>
      </c>
      <c r="E206" s="18" t="s">
        <v>1577</v>
      </c>
      <c r="F206" s="18" t="s">
        <v>1324</v>
      </c>
      <c r="G206" s="18" t="s">
        <v>237</v>
      </c>
      <c r="H206" s="18" t="s">
        <v>168</v>
      </c>
      <c r="I206" s="18" t="s">
        <v>1578</v>
      </c>
      <c r="J206" s="18" t="s">
        <v>1579</v>
      </c>
      <c r="K206" s="18" t="s">
        <v>1580</v>
      </c>
      <c r="L206" s="19">
        <v>73170</v>
      </c>
    </row>
    <row r="207" spans="1:12" ht="18" customHeight="1">
      <c r="A207" s="16" t="s">
        <v>1581</v>
      </c>
      <c r="B207" s="17" t="s">
        <v>1582</v>
      </c>
      <c r="C207" s="18" t="s">
        <v>1583</v>
      </c>
      <c r="D207" s="18" t="s">
        <v>1584</v>
      </c>
      <c r="E207" s="18" t="s">
        <v>1585</v>
      </c>
      <c r="F207" s="18" t="s">
        <v>1324</v>
      </c>
      <c r="G207" s="18" t="s">
        <v>237</v>
      </c>
      <c r="H207" s="18" t="s">
        <v>583</v>
      </c>
      <c r="I207" s="18" t="s">
        <v>1586</v>
      </c>
      <c r="J207" s="18" t="s">
        <v>1587</v>
      </c>
      <c r="K207" s="18" t="s">
        <v>1588</v>
      </c>
      <c r="L207" s="19">
        <v>43000</v>
      </c>
    </row>
    <row r="208" spans="1:12" ht="18" customHeight="1">
      <c r="A208" s="16" t="s">
        <v>1589</v>
      </c>
      <c r="B208" s="17" t="s">
        <v>1590</v>
      </c>
      <c r="C208" s="18" t="s">
        <v>1591</v>
      </c>
      <c r="D208" s="18" t="s">
        <v>1592</v>
      </c>
      <c r="E208" s="18" t="s">
        <v>1593</v>
      </c>
      <c r="F208" s="18" t="s">
        <v>1324</v>
      </c>
      <c r="G208" s="18" t="s">
        <v>237</v>
      </c>
      <c r="H208" s="18" t="s">
        <v>136</v>
      </c>
      <c r="I208" s="18" t="s">
        <v>1594</v>
      </c>
      <c r="J208" s="18" t="s">
        <v>1595</v>
      </c>
      <c r="K208" s="18" t="s">
        <v>1596</v>
      </c>
      <c r="L208" s="19">
        <v>40000</v>
      </c>
    </row>
    <row r="209" spans="1:12" ht="18" customHeight="1">
      <c r="A209" s="16" t="s">
        <v>1597</v>
      </c>
      <c r="B209" s="17" t="s">
        <v>1598</v>
      </c>
      <c r="C209" s="18" t="s">
        <v>1599</v>
      </c>
      <c r="D209" s="18" t="s">
        <v>1600</v>
      </c>
      <c r="E209" s="18" t="s">
        <v>1601</v>
      </c>
      <c r="F209" s="18" t="s">
        <v>1324</v>
      </c>
      <c r="G209" s="18" t="s">
        <v>237</v>
      </c>
      <c r="H209" s="18" t="s">
        <v>128</v>
      </c>
      <c r="I209" s="18" t="s">
        <v>1602</v>
      </c>
      <c r="J209" s="18" t="s">
        <v>1603</v>
      </c>
      <c r="K209" s="18" t="s">
        <v>1604</v>
      </c>
      <c r="L209" s="19">
        <v>36612</v>
      </c>
    </row>
    <row r="210" spans="1:12" ht="18" customHeight="1">
      <c r="A210" s="16" t="s">
        <v>1605</v>
      </c>
      <c r="B210" s="17" t="s">
        <v>1606</v>
      </c>
      <c r="C210" s="18" t="s">
        <v>1607</v>
      </c>
      <c r="D210" s="18" t="s">
        <v>1608</v>
      </c>
      <c r="E210" s="18" t="s">
        <v>1609</v>
      </c>
      <c r="F210" s="18" t="s">
        <v>1324</v>
      </c>
      <c r="G210" s="18" t="s">
        <v>237</v>
      </c>
      <c r="H210" s="18" t="s">
        <v>583</v>
      </c>
      <c r="I210" s="18" t="s">
        <v>1610</v>
      </c>
      <c r="J210" s="18" t="s">
        <v>1611</v>
      </c>
      <c r="K210" s="18" t="s">
        <v>1612</v>
      </c>
      <c r="L210" s="19">
        <v>42300</v>
      </c>
    </row>
    <row r="211" spans="1:12" ht="18" customHeight="1">
      <c r="A211" s="16" t="s">
        <v>1613</v>
      </c>
      <c r="B211" s="17" t="s">
        <v>1614</v>
      </c>
      <c r="C211" s="18" t="s">
        <v>1615</v>
      </c>
      <c r="D211" s="18" t="s">
        <v>1616</v>
      </c>
      <c r="E211" s="18" t="s">
        <v>1617</v>
      </c>
      <c r="F211" s="18" t="s">
        <v>1324</v>
      </c>
      <c r="G211" s="18" t="s">
        <v>237</v>
      </c>
      <c r="H211" s="18" t="s">
        <v>504</v>
      </c>
      <c r="I211" s="18" t="s">
        <v>1618</v>
      </c>
      <c r="J211" s="18" t="s">
        <v>1619</v>
      </c>
      <c r="K211" s="18" t="s">
        <v>1620</v>
      </c>
      <c r="L211" s="19">
        <v>81227</v>
      </c>
    </row>
    <row r="212" spans="1:12" ht="18" customHeight="1">
      <c r="A212" s="16" t="s">
        <v>1621</v>
      </c>
      <c r="B212" s="17" t="s">
        <v>1622</v>
      </c>
      <c r="C212" s="18" t="s">
        <v>1623</v>
      </c>
      <c r="D212" s="18" t="s">
        <v>1624</v>
      </c>
      <c r="E212" s="18" t="s">
        <v>1625</v>
      </c>
      <c r="F212" s="18" t="s">
        <v>1324</v>
      </c>
      <c r="G212" s="18" t="s">
        <v>237</v>
      </c>
      <c r="H212" s="18" t="s">
        <v>114</v>
      </c>
      <c r="I212" s="18" t="s">
        <v>1626</v>
      </c>
      <c r="J212" s="18" t="s">
        <v>1627</v>
      </c>
      <c r="K212" s="18" t="s">
        <v>1628</v>
      </c>
      <c r="L212" s="19">
        <v>28219</v>
      </c>
    </row>
    <row r="213" spans="1:12" ht="18" customHeight="1">
      <c r="A213" s="16" t="s">
        <v>1629</v>
      </c>
      <c r="B213" s="17" t="s">
        <v>1630</v>
      </c>
      <c r="C213" s="18" t="s">
        <v>1631</v>
      </c>
      <c r="D213" s="18" t="s">
        <v>1632</v>
      </c>
      <c r="E213" s="18" t="s">
        <v>1633</v>
      </c>
      <c r="F213" s="18" t="s">
        <v>1324</v>
      </c>
      <c r="G213" s="18" t="s">
        <v>237</v>
      </c>
      <c r="H213" s="18" t="s">
        <v>190</v>
      </c>
      <c r="I213" s="18" t="s">
        <v>1634</v>
      </c>
      <c r="J213" s="18" t="s">
        <v>1635</v>
      </c>
      <c r="K213" s="18" t="s">
        <v>1636</v>
      </c>
      <c r="L213" s="19">
        <v>79000</v>
      </c>
    </row>
    <row r="214" spans="1:12" ht="18" customHeight="1">
      <c r="A214" s="16" t="s">
        <v>1637</v>
      </c>
      <c r="B214" s="17" t="s">
        <v>1638</v>
      </c>
      <c r="C214" s="18" t="s">
        <v>1639</v>
      </c>
      <c r="D214" s="18" t="s">
        <v>1640</v>
      </c>
      <c r="E214" s="18" t="s">
        <v>1641</v>
      </c>
      <c r="F214" s="18" t="s">
        <v>1324</v>
      </c>
      <c r="G214" s="18" t="s">
        <v>237</v>
      </c>
      <c r="H214" s="18" t="s">
        <v>504</v>
      </c>
      <c r="I214" s="18" t="s">
        <v>1642</v>
      </c>
      <c r="J214" s="18" t="s">
        <v>1643</v>
      </c>
      <c r="K214" s="18" t="s">
        <v>1644</v>
      </c>
      <c r="L214" s="19">
        <v>82001</v>
      </c>
    </row>
    <row r="215" spans="1:12" ht="18" customHeight="1">
      <c r="A215" s="16" t="s">
        <v>1645</v>
      </c>
      <c r="B215" s="17" t="s">
        <v>1646</v>
      </c>
      <c r="C215" s="18" t="s">
        <v>1647</v>
      </c>
      <c r="D215" s="18" t="s">
        <v>1648</v>
      </c>
      <c r="E215" s="18" t="s">
        <v>1649</v>
      </c>
      <c r="F215" s="18" t="s">
        <v>1324</v>
      </c>
      <c r="G215" s="18" t="s">
        <v>237</v>
      </c>
      <c r="H215" s="18" t="s">
        <v>106</v>
      </c>
      <c r="I215" s="18" t="s">
        <v>1650</v>
      </c>
      <c r="J215" s="18" t="s">
        <v>1651</v>
      </c>
      <c r="K215" s="18" t="s">
        <v>1652</v>
      </c>
      <c r="L215" s="19">
        <v>25720</v>
      </c>
    </row>
    <row r="216" spans="1:12" ht="18" customHeight="1">
      <c r="A216" s="16" t="s">
        <v>1653</v>
      </c>
      <c r="B216" s="17" t="s">
        <v>1654</v>
      </c>
      <c r="C216" s="18" t="s">
        <v>1655</v>
      </c>
      <c r="D216" s="18" t="s">
        <v>1656</v>
      </c>
      <c r="E216" s="18" t="s">
        <v>1657</v>
      </c>
      <c r="F216" s="18" t="s">
        <v>1324</v>
      </c>
      <c r="G216" s="18" t="s">
        <v>237</v>
      </c>
      <c r="H216" s="18" t="s">
        <v>197</v>
      </c>
      <c r="I216" s="18" t="s">
        <v>1658</v>
      </c>
      <c r="J216" s="18" t="s">
        <v>1659</v>
      </c>
      <c r="K216" s="18" t="s">
        <v>1660</v>
      </c>
      <c r="L216" s="19">
        <v>85840</v>
      </c>
    </row>
    <row r="217" spans="1:12" ht="18" customHeight="1">
      <c r="A217" s="16" t="s">
        <v>1661</v>
      </c>
      <c r="B217" s="17" t="s">
        <v>1662</v>
      </c>
      <c r="C217" s="18" t="s">
        <v>1663</v>
      </c>
      <c r="D217" s="18" t="s">
        <v>1664</v>
      </c>
      <c r="E217" s="18" t="s">
        <v>1665</v>
      </c>
      <c r="F217" s="18" t="s">
        <v>1324</v>
      </c>
      <c r="G217" s="18" t="s">
        <v>237</v>
      </c>
      <c r="H217" s="18" t="s">
        <v>197</v>
      </c>
      <c r="I217" s="18" t="s">
        <v>1666</v>
      </c>
      <c r="J217" s="18" t="s">
        <v>1667</v>
      </c>
      <c r="K217" s="18" t="s">
        <v>1668</v>
      </c>
      <c r="L217" s="19">
        <v>84020</v>
      </c>
    </row>
    <row r="218" spans="1:12" ht="18" customHeight="1">
      <c r="A218" s="16" t="s">
        <v>1669</v>
      </c>
      <c r="B218" s="17" t="s">
        <v>1670</v>
      </c>
      <c r="C218" s="18" t="s">
        <v>1369</v>
      </c>
      <c r="D218" s="18" t="s">
        <v>1370</v>
      </c>
      <c r="E218" s="18" t="s">
        <v>1671</v>
      </c>
      <c r="F218" s="18" t="s">
        <v>1324</v>
      </c>
      <c r="G218" s="18" t="s">
        <v>237</v>
      </c>
      <c r="H218" s="18" t="s">
        <v>84</v>
      </c>
      <c r="I218" s="18" t="s">
        <v>1672</v>
      </c>
      <c r="J218" s="18" t="s">
        <v>1373</v>
      </c>
      <c r="K218" s="18" t="s">
        <v>1673</v>
      </c>
      <c r="L218" s="19">
        <v>24180</v>
      </c>
    </row>
    <row r="219" spans="1:12" ht="18" customHeight="1">
      <c r="A219" s="16" t="s">
        <v>1674</v>
      </c>
      <c r="B219" s="17" t="s">
        <v>1675</v>
      </c>
      <c r="C219" s="18" t="s">
        <v>1676</v>
      </c>
      <c r="D219" s="18" t="s">
        <v>1677</v>
      </c>
      <c r="E219" s="18" t="s">
        <v>1678</v>
      </c>
      <c r="F219" s="18" t="s">
        <v>1324</v>
      </c>
      <c r="G219" s="18" t="s">
        <v>237</v>
      </c>
      <c r="H219" s="18" t="s">
        <v>106</v>
      </c>
      <c r="I219" s="18" t="s">
        <v>1679</v>
      </c>
      <c r="J219" s="18" t="s">
        <v>1680</v>
      </c>
      <c r="K219" s="18" t="s">
        <v>1681</v>
      </c>
      <c r="L219" s="19">
        <v>26860</v>
      </c>
    </row>
    <row r="220" spans="1:12" ht="18" customHeight="1">
      <c r="A220" s="16" t="s">
        <v>1682</v>
      </c>
      <c r="B220" s="17" t="s">
        <v>1683</v>
      </c>
      <c r="C220" s="18" t="s">
        <v>1684</v>
      </c>
      <c r="D220" s="18" t="s">
        <v>1685</v>
      </c>
      <c r="E220" s="18" t="s">
        <v>1686</v>
      </c>
      <c r="F220" s="18" t="s">
        <v>1324</v>
      </c>
      <c r="G220" s="18" t="s">
        <v>237</v>
      </c>
      <c r="H220" s="18" t="s">
        <v>616</v>
      </c>
      <c r="I220" s="18" t="s">
        <v>1687</v>
      </c>
      <c r="J220" s="18" t="s">
        <v>1688</v>
      </c>
      <c r="K220" s="18" t="s">
        <v>1689</v>
      </c>
      <c r="L220" s="19">
        <v>95330</v>
      </c>
    </row>
    <row r="221" spans="1:12" ht="18" customHeight="1">
      <c r="A221" s="16" t="s">
        <v>1690</v>
      </c>
      <c r="B221" s="17" t="s">
        <v>1691</v>
      </c>
      <c r="C221" s="18" t="s">
        <v>1692</v>
      </c>
      <c r="D221" s="18" t="s">
        <v>1693</v>
      </c>
      <c r="E221" s="18" t="s">
        <v>1694</v>
      </c>
      <c r="F221" s="18" t="s">
        <v>1324</v>
      </c>
      <c r="G221" s="18" t="s">
        <v>237</v>
      </c>
      <c r="H221" s="18" t="s">
        <v>91</v>
      </c>
      <c r="I221" s="18" t="s">
        <v>1695</v>
      </c>
      <c r="J221" s="18" t="s">
        <v>1696</v>
      </c>
      <c r="K221" s="18" t="s">
        <v>1697</v>
      </c>
      <c r="L221" s="19">
        <v>29960</v>
      </c>
    </row>
    <row r="222" spans="1:12" ht="18" customHeight="1">
      <c r="A222" s="16" t="s">
        <v>1698</v>
      </c>
      <c r="B222" s="17" t="s">
        <v>1699</v>
      </c>
      <c r="C222" s="18" t="s">
        <v>1700</v>
      </c>
      <c r="D222" s="18" t="s">
        <v>1701</v>
      </c>
      <c r="E222" s="18" t="s">
        <v>1702</v>
      </c>
      <c r="F222" s="18" t="s">
        <v>1324</v>
      </c>
      <c r="G222" s="18" t="s">
        <v>237</v>
      </c>
      <c r="H222" s="18" t="s">
        <v>1186</v>
      </c>
      <c r="I222" s="18" t="s">
        <v>1703</v>
      </c>
      <c r="J222" s="18" t="s">
        <v>1704</v>
      </c>
      <c r="K222" s="18" t="s">
        <v>1705</v>
      </c>
      <c r="L222" s="19">
        <v>61605</v>
      </c>
    </row>
    <row r="223" spans="1:12" ht="18" customHeight="1">
      <c r="A223" s="16" t="s">
        <v>1706</v>
      </c>
      <c r="B223" s="17" t="s">
        <v>1707</v>
      </c>
      <c r="C223" s="18" t="s">
        <v>1708</v>
      </c>
      <c r="D223" s="18" t="s">
        <v>1709</v>
      </c>
      <c r="E223" s="18" t="s">
        <v>1710</v>
      </c>
      <c r="F223" s="18" t="s">
        <v>1324</v>
      </c>
      <c r="G223" s="18" t="s">
        <v>237</v>
      </c>
      <c r="H223" s="18" t="s">
        <v>106</v>
      </c>
      <c r="I223" s="18" t="s">
        <v>1711</v>
      </c>
      <c r="J223" s="18" t="s">
        <v>1712</v>
      </c>
      <c r="K223" s="18" t="s">
        <v>1713</v>
      </c>
      <c r="L223" s="19">
        <v>26070</v>
      </c>
    </row>
    <row r="224" spans="1:12" ht="18" customHeight="1">
      <c r="A224" s="16" t="s">
        <v>1714</v>
      </c>
      <c r="B224" s="17" t="s">
        <v>1715</v>
      </c>
      <c r="C224" s="18" t="s">
        <v>1716</v>
      </c>
      <c r="D224" s="18" t="s">
        <v>1717</v>
      </c>
      <c r="E224" s="18" t="s">
        <v>1718</v>
      </c>
      <c r="F224" s="18" t="s">
        <v>1324</v>
      </c>
      <c r="G224" s="18" t="s">
        <v>237</v>
      </c>
      <c r="H224" s="18" t="s">
        <v>1153</v>
      </c>
      <c r="I224" s="18" t="s">
        <v>1719</v>
      </c>
      <c r="J224" s="18" t="s">
        <v>1720</v>
      </c>
      <c r="K224" s="18" t="s">
        <v>1721</v>
      </c>
      <c r="L224" s="19">
        <v>71600</v>
      </c>
    </row>
    <row r="225" spans="1:12" ht="18" customHeight="1">
      <c r="A225" s="16" t="s">
        <v>1722</v>
      </c>
      <c r="B225" s="17" t="s">
        <v>1723</v>
      </c>
      <c r="C225" s="18" t="s">
        <v>1724</v>
      </c>
      <c r="D225" s="18" t="s">
        <v>1725</v>
      </c>
      <c r="E225" s="18" t="s">
        <v>1726</v>
      </c>
      <c r="F225" s="18" t="s">
        <v>1324</v>
      </c>
      <c r="G225" s="18" t="s">
        <v>237</v>
      </c>
      <c r="H225" s="18" t="s">
        <v>616</v>
      </c>
      <c r="I225" s="18" t="s">
        <v>1727</v>
      </c>
      <c r="J225" s="18" t="s">
        <v>1728</v>
      </c>
      <c r="K225" s="18" t="s">
        <v>1729</v>
      </c>
      <c r="L225" s="19">
        <v>93360</v>
      </c>
    </row>
    <row r="226" spans="1:12" ht="18" customHeight="1">
      <c r="A226" s="16" t="s">
        <v>1730</v>
      </c>
      <c r="B226" s="17" t="s">
        <v>1731</v>
      </c>
      <c r="C226" s="18" t="s">
        <v>1732</v>
      </c>
      <c r="D226" s="18" t="s">
        <v>1733</v>
      </c>
      <c r="E226" s="18" t="s">
        <v>1734</v>
      </c>
      <c r="F226" s="18" t="s">
        <v>1324</v>
      </c>
      <c r="G226" s="18" t="s">
        <v>237</v>
      </c>
      <c r="H226" s="18" t="s">
        <v>632</v>
      </c>
      <c r="I226" s="18" t="s">
        <v>1735</v>
      </c>
      <c r="J226" s="18" t="s">
        <v>1736</v>
      </c>
      <c r="K226" s="18" t="s">
        <v>1737</v>
      </c>
      <c r="L226" s="19">
        <v>48290</v>
      </c>
    </row>
    <row r="227" spans="1:12" ht="18" customHeight="1">
      <c r="A227" s="16" t="s">
        <v>1738</v>
      </c>
      <c r="B227" s="17" t="s">
        <v>1739</v>
      </c>
      <c r="C227" s="18" t="s">
        <v>1740</v>
      </c>
      <c r="D227" s="18" t="s">
        <v>1741</v>
      </c>
      <c r="E227" s="18" t="s">
        <v>1742</v>
      </c>
      <c r="F227" s="18" t="s">
        <v>1324</v>
      </c>
      <c r="G227" s="18" t="s">
        <v>237</v>
      </c>
      <c r="H227" s="18" t="s">
        <v>1186</v>
      </c>
      <c r="I227" s="18" t="s">
        <v>1743</v>
      </c>
      <c r="J227" s="18" t="s">
        <v>1744</v>
      </c>
      <c r="K227" s="18" t="s">
        <v>1745</v>
      </c>
      <c r="L227" s="19">
        <v>60950</v>
      </c>
    </row>
    <row r="228" spans="1:12" ht="18" customHeight="1">
      <c r="A228" s="16" t="s">
        <v>1746</v>
      </c>
      <c r="B228" s="17" t="s">
        <v>1747</v>
      </c>
      <c r="C228" s="18" t="s">
        <v>1748</v>
      </c>
      <c r="D228" s="18" t="s">
        <v>1749</v>
      </c>
      <c r="E228" s="18" t="s">
        <v>1750</v>
      </c>
      <c r="F228" s="18" t="s">
        <v>1324</v>
      </c>
      <c r="G228" s="18" t="s">
        <v>237</v>
      </c>
      <c r="H228" s="18" t="s">
        <v>213</v>
      </c>
      <c r="I228" s="18" t="s">
        <v>1751</v>
      </c>
      <c r="J228" s="18" t="s">
        <v>1752</v>
      </c>
      <c r="K228" s="18" t="s">
        <v>1753</v>
      </c>
      <c r="L228" s="19">
        <v>88970</v>
      </c>
    </row>
    <row r="229" spans="1:12" ht="18" customHeight="1">
      <c r="A229" s="16" t="s">
        <v>1754</v>
      </c>
      <c r="B229" s="17" t="s">
        <v>1755</v>
      </c>
      <c r="C229" s="18" t="s">
        <v>1756</v>
      </c>
      <c r="D229" s="18" t="s">
        <v>1757</v>
      </c>
      <c r="E229" s="18" t="s">
        <v>1758</v>
      </c>
      <c r="F229" s="18" t="s">
        <v>1324</v>
      </c>
      <c r="G229" s="18" t="s">
        <v>237</v>
      </c>
      <c r="H229" s="18" t="s">
        <v>190</v>
      </c>
      <c r="I229" s="18" t="s">
        <v>1759</v>
      </c>
      <c r="J229" s="18" t="s">
        <v>1760</v>
      </c>
      <c r="K229" s="18" t="s">
        <v>1761</v>
      </c>
      <c r="L229" s="19">
        <v>79610</v>
      </c>
    </row>
    <row r="230" spans="1:12" ht="18" customHeight="1">
      <c r="A230" s="16" t="s">
        <v>1762</v>
      </c>
      <c r="B230" s="17" t="s">
        <v>1763</v>
      </c>
      <c r="C230" s="18" t="s">
        <v>1764</v>
      </c>
      <c r="D230" s="18" t="s">
        <v>1765</v>
      </c>
      <c r="E230" s="18" t="s">
        <v>1766</v>
      </c>
      <c r="F230" s="18" t="s">
        <v>1324</v>
      </c>
      <c r="G230" s="18" t="s">
        <v>237</v>
      </c>
      <c r="H230" s="18" t="s">
        <v>1186</v>
      </c>
      <c r="I230" s="18" t="s">
        <v>1767</v>
      </c>
      <c r="J230" s="18" t="s">
        <v>1768</v>
      </c>
      <c r="K230" s="18" t="s">
        <v>1769</v>
      </c>
      <c r="L230" s="19">
        <v>59000</v>
      </c>
    </row>
    <row r="231" spans="1:12" ht="18" customHeight="1">
      <c r="A231" s="16" t="s">
        <v>1770</v>
      </c>
      <c r="B231" s="17" t="s">
        <v>1771</v>
      </c>
      <c r="C231" s="18" t="s">
        <v>1772</v>
      </c>
      <c r="D231" s="18" t="s">
        <v>1773</v>
      </c>
      <c r="E231" s="18" t="s">
        <v>1774</v>
      </c>
      <c r="F231" s="18" t="s">
        <v>1324</v>
      </c>
      <c r="G231" s="18" t="s">
        <v>237</v>
      </c>
      <c r="H231" s="18" t="s">
        <v>91</v>
      </c>
      <c r="I231" s="18" t="s">
        <v>1775</v>
      </c>
      <c r="J231" s="18" t="s">
        <v>1776</v>
      </c>
      <c r="K231" s="18" t="s">
        <v>1777</v>
      </c>
      <c r="L231" s="19">
        <v>29238</v>
      </c>
    </row>
    <row r="232" spans="1:12" ht="18" customHeight="1">
      <c r="A232" s="16" t="s">
        <v>1778</v>
      </c>
      <c r="B232" s="17" t="s">
        <v>1779</v>
      </c>
      <c r="C232" s="18" t="s">
        <v>1780</v>
      </c>
      <c r="D232" s="18" t="s">
        <v>1781</v>
      </c>
      <c r="E232" s="18" t="s">
        <v>1782</v>
      </c>
      <c r="F232" s="18" t="s">
        <v>1324</v>
      </c>
      <c r="G232" s="18" t="s">
        <v>237</v>
      </c>
      <c r="H232" s="18" t="s">
        <v>76</v>
      </c>
      <c r="I232" s="18" t="s">
        <v>1783</v>
      </c>
      <c r="J232" s="18" t="s">
        <v>1784</v>
      </c>
      <c r="K232" s="18" t="s">
        <v>76</v>
      </c>
      <c r="L232" s="19">
        <v>23407</v>
      </c>
    </row>
    <row r="233" spans="1:12" ht="18" customHeight="1">
      <c r="A233" s="16" t="s">
        <v>1785</v>
      </c>
      <c r="B233" s="17" t="s">
        <v>1786</v>
      </c>
      <c r="C233" s="18" t="s">
        <v>1787</v>
      </c>
      <c r="D233" s="18" t="s">
        <v>1788</v>
      </c>
      <c r="E233" s="18" t="s">
        <v>1789</v>
      </c>
      <c r="F233" s="18" t="s">
        <v>1324</v>
      </c>
      <c r="G233" s="18" t="s">
        <v>237</v>
      </c>
      <c r="H233" s="18" t="s">
        <v>197</v>
      </c>
      <c r="I233" s="18" t="s">
        <v>1790</v>
      </c>
      <c r="J233" s="18" t="s">
        <v>1791</v>
      </c>
      <c r="K233" s="18" t="s">
        <v>1792</v>
      </c>
      <c r="L233" s="19">
        <v>83440</v>
      </c>
    </row>
    <row r="234" spans="1:12" ht="18" customHeight="1">
      <c r="A234" s="16" t="s">
        <v>1793</v>
      </c>
      <c r="B234" s="17" t="s">
        <v>1794</v>
      </c>
      <c r="C234" s="18" t="s">
        <v>1795</v>
      </c>
      <c r="D234" s="18" t="s">
        <v>1796</v>
      </c>
      <c r="E234" s="18" t="s">
        <v>1797</v>
      </c>
      <c r="F234" s="18" t="s">
        <v>1324</v>
      </c>
      <c r="G234" s="18" t="s">
        <v>237</v>
      </c>
      <c r="H234" s="18" t="s">
        <v>106</v>
      </c>
      <c r="I234" s="18" t="s">
        <v>1798</v>
      </c>
      <c r="J234" s="18" t="s">
        <v>1799</v>
      </c>
      <c r="K234" s="18" t="s">
        <v>1800</v>
      </c>
      <c r="L234" s="19">
        <v>27847</v>
      </c>
    </row>
    <row r="235" spans="1:12" ht="18" customHeight="1">
      <c r="A235" s="16" t="s">
        <v>1801</v>
      </c>
      <c r="B235" s="17" t="s">
        <v>1802</v>
      </c>
      <c r="C235" s="18" t="s">
        <v>1803</v>
      </c>
      <c r="D235" s="18" t="s">
        <v>1804</v>
      </c>
      <c r="E235" s="18" t="s">
        <v>1805</v>
      </c>
      <c r="F235" s="18" t="s">
        <v>1324</v>
      </c>
      <c r="G235" s="18" t="s">
        <v>237</v>
      </c>
      <c r="H235" s="18" t="s">
        <v>76</v>
      </c>
      <c r="I235" s="18" t="s">
        <v>1806</v>
      </c>
      <c r="J235" s="18" t="s">
        <v>1807</v>
      </c>
      <c r="K235" s="18" t="s">
        <v>1808</v>
      </c>
      <c r="L235" s="19">
        <v>23920</v>
      </c>
    </row>
    <row r="236" spans="1:12" ht="18" customHeight="1">
      <c r="A236" s="16" t="s">
        <v>1809</v>
      </c>
      <c r="B236" s="17" t="s">
        <v>1810</v>
      </c>
      <c r="C236" s="18" t="s">
        <v>1811</v>
      </c>
      <c r="D236" s="18" t="s">
        <v>1812</v>
      </c>
      <c r="E236" s="18" t="s">
        <v>1813</v>
      </c>
      <c r="F236" s="18" t="s">
        <v>1324</v>
      </c>
      <c r="G236" s="18" t="s">
        <v>237</v>
      </c>
      <c r="H236" s="18" t="s">
        <v>190</v>
      </c>
      <c r="I236" s="18" t="s">
        <v>1814</v>
      </c>
      <c r="J236" s="18" t="s">
        <v>1815</v>
      </c>
      <c r="K236" s="18" t="s">
        <v>1816</v>
      </c>
      <c r="L236" s="19">
        <v>79960</v>
      </c>
    </row>
    <row r="237" spans="1:12" ht="18" customHeight="1">
      <c r="A237" s="16" t="s">
        <v>1817</v>
      </c>
      <c r="B237" s="17" t="s">
        <v>1818</v>
      </c>
      <c r="C237" s="18" t="s">
        <v>1819</v>
      </c>
      <c r="D237" s="18" t="s">
        <v>1820</v>
      </c>
      <c r="E237" s="18" t="s">
        <v>1821</v>
      </c>
      <c r="F237" s="18" t="s">
        <v>1324</v>
      </c>
      <c r="G237" s="18" t="s">
        <v>237</v>
      </c>
      <c r="H237" s="18" t="s">
        <v>168</v>
      </c>
      <c r="I237" s="18" t="s">
        <v>1822</v>
      </c>
      <c r="J237" s="18" t="s">
        <v>1823</v>
      </c>
      <c r="K237" s="18" t="s">
        <v>1824</v>
      </c>
      <c r="L237" s="19">
        <v>75540</v>
      </c>
    </row>
    <row r="238" spans="1:12" ht="18" customHeight="1">
      <c r="A238" s="16" t="s">
        <v>1825</v>
      </c>
      <c r="B238" s="17" t="s">
        <v>1826</v>
      </c>
      <c r="C238" s="18" t="s">
        <v>1827</v>
      </c>
      <c r="D238" s="18" t="s">
        <v>1828</v>
      </c>
      <c r="E238" s="18" t="s">
        <v>1829</v>
      </c>
      <c r="F238" s="18" t="s">
        <v>1324</v>
      </c>
      <c r="G238" s="18" t="s">
        <v>237</v>
      </c>
      <c r="H238" s="18" t="s">
        <v>1153</v>
      </c>
      <c r="I238" s="18" t="s">
        <v>1830</v>
      </c>
      <c r="J238" s="18" t="s">
        <v>1831</v>
      </c>
      <c r="K238" s="18" t="s">
        <v>1832</v>
      </c>
      <c r="L238" s="19">
        <v>70760</v>
      </c>
    </row>
    <row r="239" spans="1:12" ht="18" customHeight="1">
      <c r="A239" s="16" t="s">
        <v>1833</v>
      </c>
      <c r="B239" s="17" t="s">
        <v>1834</v>
      </c>
      <c r="C239" s="18" t="s">
        <v>1835</v>
      </c>
      <c r="D239" s="18" t="s">
        <v>1836</v>
      </c>
      <c r="E239" s="18" t="s">
        <v>1837</v>
      </c>
      <c r="F239" s="18" t="s">
        <v>1324</v>
      </c>
      <c r="G239" s="18" t="s">
        <v>237</v>
      </c>
      <c r="H239" s="18" t="s">
        <v>168</v>
      </c>
      <c r="I239" s="18" t="s">
        <v>1838</v>
      </c>
      <c r="J239" s="18" t="s">
        <v>1839</v>
      </c>
      <c r="K239" s="18" t="s">
        <v>1840</v>
      </c>
      <c r="L239" s="19">
        <v>73870</v>
      </c>
    </row>
    <row r="240" spans="1:12" ht="18" customHeight="1">
      <c r="A240" s="16" t="s">
        <v>1841</v>
      </c>
      <c r="B240" s="17" t="s">
        <v>1842</v>
      </c>
      <c r="C240" s="18" t="s">
        <v>1843</v>
      </c>
      <c r="D240" s="18" t="s">
        <v>1844</v>
      </c>
      <c r="E240" s="18" t="s">
        <v>1845</v>
      </c>
      <c r="F240" s="18" t="s">
        <v>1324</v>
      </c>
      <c r="G240" s="18" t="s">
        <v>237</v>
      </c>
      <c r="H240" s="18" t="s">
        <v>616</v>
      </c>
      <c r="I240" s="18" t="s">
        <v>1846</v>
      </c>
      <c r="J240" s="18" t="s">
        <v>1847</v>
      </c>
      <c r="K240" s="18" t="s">
        <v>1848</v>
      </c>
      <c r="L240" s="19">
        <v>92860</v>
      </c>
    </row>
    <row r="241" spans="1:12" ht="18" customHeight="1">
      <c r="A241" s="16" t="s">
        <v>1849</v>
      </c>
      <c r="B241" s="17" t="s">
        <v>1850</v>
      </c>
      <c r="C241" s="18" t="s">
        <v>1851</v>
      </c>
      <c r="D241" s="18" t="s">
        <v>1852</v>
      </c>
      <c r="E241" s="18" t="s">
        <v>1853</v>
      </c>
      <c r="F241" s="18" t="s">
        <v>1324</v>
      </c>
      <c r="G241" s="18" t="s">
        <v>237</v>
      </c>
      <c r="H241" s="18" t="s">
        <v>1153</v>
      </c>
      <c r="I241" s="18" t="s">
        <v>1854</v>
      </c>
      <c r="J241" s="18" t="s">
        <v>1855</v>
      </c>
      <c r="K241" s="18" t="s">
        <v>1856</v>
      </c>
      <c r="L241" s="19">
        <v>68300</v>
      </c>
    </row>
    <row r="242" spans="1:12" ht="18" customHeight="1">
      <c r="A242" s="16" t="s">
        <v>1857</v>
      </c>
      <c r="B242" s="17" t="s">
        <v>1858</v>
      </c>
      <c r="C242" s="18" t="s">
        <v>1859</v>
      </c>
      <c r="D242" s="18" t="s">
        <v>1860</v>
      </c>
      <c r="E242" s="18" t="s">
        <v>1861</v>
      </c>
      <c r="F242" s="18" t="s">
        <v>1324</v>
      </c>
      <c r="G242" s="18" t="s">
        <v>237</v>
      </c>
      <c r="H242" s="18" t="s">
        <v>1186</v>
      </c>
      <c r="I242" s="18" t="s">
        <v>1862</v>
      </c>
      <c r="J242" s="18" t="s">
        <v>1863</v>
      </c>
      <c r="K242" s="18" t="s">
        <v>1864</v>
      </c>
      <c r="L242" s="19">
        <v>60160</v>
      </c>
    </row>
    <row r="243" spans="1:12" ht="18" customHeight="1">
      <c r="A243" s="16" t="s">
        <v>1865</v>
      </c>
      <c r="B243" s="17" t="s">
        <v>1866</v>
      </c>
      <c r="C243" s="18" t="s">
        <v>1867</v>
      </c>
      <c r="D243" s="18" t="s">
        <v>1868</v>
      </c>
      <c r="E243" s="18" t="s">
        <v>1869</v>
      </c>
      <c r="F243" s="18" t="s">
        <v>1324</v>
      </c>
      <c r="G243" s="18" t="s">
        <v>237</v>
      </c>
      <c r="H243" s="18" t="s">
        <v>616</v>
      </c>
      <c r="I243" s="18" t="s">
        <v>1870</v>
      </c>
      <c r="J243" s="18" t="s">
        <v>1871</v>
      </c>
      <c r="K243" s="18" t="s">
        <v>1181</v>
      </c>
      <c r="L243" s="19">
        <v>91020</v>
      </c>
    </row>
    <row r="244" spans="1:12" ht="18" customHeight="1">
      <c r="A244" s="16" t="s">
        <v>1872</v>
      </c>
      <c r="B244" s="17" t="s">
        <v>1873</v>
      </c>
      <c r="C244" s="18" t="s">
        <v>1874</v>
      </c>
      <c r="D244" s="18" t="s">
        <v>1875</v>
      </c>
      <c r="E244" s="18" t="s">
        <v>1876</v>
      </c>
      <c r="F244" s="18" t="s">
        <v>1324</v>
      </c>
      <c r="G244" s="18" t="s">
        <v>237</v>
      </c>
      <c r="H244" s="18" t="s">
        <v>1186</v>
      </c>
      <c r="I244" s="18" t="s">
        <v>1877</v>
      </c>
      <c r="J244" s="18" t="s">
        <v>1878</v>
      </c>
      <c r="K244" s="18" t="s">
        <v>1879</v>
      </c>
      <c r="L244" s="19">
        <v>58660</v>
      </c>
    </row>
    <row r="245" spans="1:12" ht="18" customHeight="1">
      <c r="A245" s="16" t="s">
        <v>1880</v>
      </c>
      <c r="B245" s="17" t="s">
        <v>1881</v>
      </c>
      <c r="C245" s="18" t="s">
        <v>1882</v>
      </c>
      <c r="D245" s="18" t="s">
        <v>1883</v>
      </c>
      <c r="E245" s="18" t="s">
        <v>1884</v>
      </c>
      <c r="F245" s="18" t="s">
        <v>1324</v>
      </c>
      <c r="G245" s="18" t="s">
        <v>237</v>
      </c>
      <c r="H245" s="18" t="s">
        <v>1186</v>
      </c>
      <c r="I245" s="18" t="s">
        <v>1885</v>
      </c>
      <c r="J245" s="18" t="s">
        <v>1886</v>
      </c>
      <c r="K245" s="18" t="s">
        <v>1887</v>
      </c>
      <c r="L245" s="19">
        <v>59688</v>
      </c>
    </row>
    <row r="246" spans="1:12" ht="18" customHeight="1">
      <c r="A246" s="16" t="s">
        <v>1888</v>
      </c>
      <c r="B246" s="17" t="s">
        <v>1889</v>
      </c>
      <c r="C246" s="18" t="s">
        <v>1890</v>
      </c>
      <c r="D246" s="18" t="s">
        <v>1891</v>
      </c>
      <c r="E246" s="18" t="s">
        <v>1892</v>
      </c>
      <c r="F246" s="18" t="s">
        <v>1324</v>
      </c>
      <c r="G246" s="18" t="s">
        <v>237</v>
      </c>
      <c r="H246" s="18" t="s">
        <v>1186</v>
      </c>
      <c r="I246" s="18" t="s">
        <v>1893</v>
      </c>
      <c r="J246" s="18" t="s">
        <v>1894</v>
      </c>
      <c r="K246" s="18" t="s">
        <v>1895</v>
      </c>
      <c r="L246" s="19">
        <v>61513</v>
      </c>
    </row>
    <row r="247" spans="1:12" ht="18" customHeight="1">
      <c r="A247" s="16" t="s">
        <v>1896</v>
      </c>
      <c r="B247" s="17" t="s">
        <v>1897</v>
      </c>
      <c r="C247" s="18" t="s">
        <v>1898</v>
      </c>
      <c r="D247" s="18" t="s">
        <v>1899</v>
      </c>
      <c r="E247" s="18" t="s">
        <v>1900</v>
      </c>
      <c r="F247" s="18" t="s">
        <v>1901</v>
      </c>
      <c r="G247" s="18" t="s">
        <v>237</v>
      </c>
      <c r="H247" s="18" t="s">
        <v>152</v>
      </c>
      <c r="I247" s="18" t="s">
        <v>1902</v>
      </c>
      <c r="J247" s="18" t="s">
        <v>1903</v>
      </c>
      <c r="K247" s="18" t="s">
        <v>1904</v>
      </c>
      <c r="L247" s="19">
        <v>63400</v>
      </c>
    </row>
    <row r="248" spans="1:12" ht="18" customHeight="1">
      <c r="A248" s="16" t="s">
        <v>1905</v>
      </c>
      <c r="B248" s="17" t="s">
        <v>1906</v>
      </c>
      <c r="C248" s="18" t="s">
        <v>1907</v>
      </c>
      <c r="D248" s="18" t="s">
        <v>1908</v>
      </c>
      <c r="E248" s="18" t="s">
        <v>1909</v>
      </c>
      <c r="F248" s="18" t="s">
        <v>1901</v>
      </c>
      <c r="G248" s="18" t="s">
        <v>237</v>
      </c>
      <c r="H248" s="18" t="s">
        <v>136</v>
      </c>
      <c r="I248" s="18" t="s">
        <v>1910</v>
      </c>
      <c r="J248" s="18" t="s">
        <v>1911</v>
      </c>
      <c r="K248" s="18" t="s">
        <v>139</v>
      </c>
      <c r="L248" s="19">
        <v>39610</v>
      </c>
    </row>
    <row r="249" spans="1:12" ht="18" customHeight="1">
      <c r="A249" s="16" t="s">
        <v>1912</v>
      </c>
      <c r="B249" s="17" t="s">
        <v>1913</v>
      </c>
      <c r="C249" s="18" t="s">
        <v>1914</v>
      </c>
      <c r="D249" s="18" t="s">
        <v>1915</v>
      </c>
      <c r="E249" s="18" t="s">
        <v>1916</v>
      </c>
      <c r="F249" s="18" t="s">
        <v>1901</v>
      </c>
      <c r="G249" s="18" t="s">
        <v>237</v>
      </c>
      <c r="H249" s="18" t="s">
        <v>168</v>
      </c>
      <c r="I249" s="18" t="s">
        <v>1917</v>
      </c>
      <c r="J249" s="18" t="s">
        <v>1918</v>
      </c>
      <c r="K249" s="18" t="s">
        <v>1919</v>
      </c>
      <c r="L249" s="19">
        <v>74949</v>
      </c>
    </row>
    <row r="250" spans="1:12" ht="18" customHeight="1">
      <c r="A250" s="16" t="s">
        <v>1920</v>
      </c>
      <c r="B250" s="17" t="s">
        <v>1921</v>
      </c>
      <c r="C250" s="18" t="s">
        <v>1922</v>
      </c>
      <c r="D250" s="18" t="s">
        <v>1923</v>
      </c>
      <c r="E250" s="18" t="s">
        <v>1924</v>
      </c>
      <c r="F250" s="18" t="s">
        <v>1901</v>
      </c>
      <c r="G250" s="18" t="s">
        <v>237</v>
      </c>
      <c r="H250" s="18" t="s">
        <v>616</v>
      </c>
      <c r="I250" s="18" t="s">
        <v>1925</v>
      </c>
      <c r="J250" s="18" t="s">
        <v>1926</v>
      </c>
      <c r="K250" s="18" t="s">
        <v>1927</v>
      </c>
      <c r="L250" s="19">
        <v>96025</v>
      </c>
    </row>
    <row r="251" spans="1:12" ht="18" customHeight="1">
      <c r="A251" s="16" t="s">
        <v>1928</v>
      </c>
      <c r="B251" s="17" t="s">
        <v>1929</v>
      </c>
      <c r="C251" s="18" t="s">
        <v>1930</v>
      </c>
      <c r="D251" s="18" t="s">
        <v>1931</v>
      </c>
      <c r="E251" s="18" t="s">
        <v>1932</v>
      </c>
      <c r="F251" s="18" t="s">
        <v>1901</v>
      </c>
      <c r="G251" s="18" t="s">
        <v>237</v>
      </c>
      <c r="H251" s="18" t="s">
        <v>61</v>
      </c>
      <c r="I251" s="18" t="s">
        <v>1933</v>
      </c>
      <c r="J251" s="18" t="s">
        <v>1934</v>
      </c>
      <c r="K251" s="18" t="s">
        <v>61</v>
      </c>
      <c r="L251" s="19">
        <v>20010</v>
      </c>
    </row>
    <row r="252" spans="1:12" ht="18" customHeight="1">
      <c r="A252" s="16" t="s">
        <v>1935</v>
      </c>
      <c r="B252" s="17" t="s">
        <v>1936</v>
      </c>
      <c r="C252" s="18" t="s">
        <v>1937</v>
      </c>
      <c r="D252" s="18" t="s">
        <v>1938</v>
      </c>
      <c r="E252" s="18" t="s">
        <v>1939</v>
      </c>
      <c r="F252" s="18" t="s">
        <v>1901</v>
      </c>
      <c r="G252" s="18" t="s">
        <v>237</v>
      </c>
      <c r="H252" s="18" t="s">
        <v>253</v>
      </c>
      <c r="I252" s="18" t="s">
        <v>1940</v>
      </c>
      <c r="J252" s="18" t="s">
        <v>1941</v>
      </c>
      <c r="K252" s="18" t="s">
        <v>338</v>
      </c>
      <c r="L252" s="19" t="s">
        <v>1942</v>
      </c>
    </row>
    <row r="253" spans="1:12" ht="18" customHeight="1">
      <c r="A253" s="16" t="s">
        <v>1943</v>
      </c>
      <c r="B253" s="17" t="s">
        <v>1944</v>
      </c>
      <c r="C253" s="18" t="s">
        <v>1945</v>
      </c>
      <c r="D253" s="18" t="s">
        <v>1946</v>
      </c>
      <c r="E253" s="18" t="s">
        <v>1947</v>
      </c>
      <c r="F253" s="18" t="s">
        <v>1901</v>
      </c>
      <c r="G253" s="18" t="s">
        <v>237</v>
      </c>
      <c r="H253" s="18" t="s">
        <v>168</v>
      </c>
      <c r="I253" s="18" t="s">
        <v>1948</v>
      </c>
      <c r="J253" s="18" t="s">
        <v>1949</v>
      </c>
      <c r="K253" s="18" t="s">
        <v>1950</v>
      </c>
      <c r="L253" s="19">
        <v>74239</v>
      </c>
    </row>
    <row r="254" spans="1:12" ht="18" customHeight="1">
      <c r="A254" s="16" t="s">
        <v>1951</v>
      </c>
      <c r="B254" s="17" t="s">
        <v>1952</v>
      </c>
      <c r="C254" s="18" t="s">
        <v>1953</v>
      </c>
      <c r="D254" s="18" t="s">
        <v>1954</v>
      </c>
      <c r="E254" s="18" t="s">
        <v>1955</v>
      </c>
      <c r="F254" s="18" t="s">
        <v>1901</v>
      </c>
      <c r="G254" s="18" t="s">
        <v>237</v>
      </c>
      <c r="H254" s="18" t="s">
        <v>632</v>
      </c>
      <c r="I254" s="18" t="s">
        <v>1956</v>
      </c>
      <c r="J254" s="18" t="s">
        <v>1957</v>
      </c>
      <c r="K254" s="18" t="s">
        <v>1958</v>
      </c>
      <c r="L254" s="19">
        <v>48900</v>
      </c>
    </row>
    <row r="255" spans="1:12" ht="18" customHeight="1">
      <c r="A255" s="16" t="s">
        <v>1959</v>
      </c>
      <c r="B255" s="17" t="s">
        <v>1960</v>
      </c>
      <c r="C255" s="18" t="s">
        <v>1961</v>
      </c>
      <c r="D255" s="18" t="s">
        <v>1962</v>
      </c>
      <c r="E255" s="18" t="s">
        <v>1963</v>
      </c>
      <c r="F255" s="18" t="s">
        <v>1901</v>
      </c>
      <c r="G255" s="18" t="s">
        <v>237</v>
      </c>
      <c r="H255" s="18" t="s">
        <v>253</v>
      </c>
      <c r="I255" s="18" t="s">
        <v>1964</v>
      </c>
      <c r="J255" s="18" t="s">
        <v>1965</v>
      </c>
      <c r="K255" s="18" t="s">
        <v>1966</v>
      </c>
      <c r="L255" s="19" t="s">
        <v>1967</v>
      </c>
    </row>
    <row r="256" spans="1:12" ht="18" customHeight="1">
      <c r="A256" s="16" t="s">
        <v>1968</v>
      </c>
      <c r="B256" s="17" t="s">
        <v>1969</v>
      </c>
      <c r="C256" s="18" t="s">
        <v>1970</v>
      </c>
      <c r="D256" s="18" t="s">
        <v>1971</v>
      </c>
      <c r="E256" s="18" t="s">
        <v>1972</v>
      </c>
      <c r="F256" s="18" t="s">
        <v>1901</v>
      </c>
      <c r="G256" s="18" t="s">
        <v>237</v>
      </c>
      <c r="H256" s="18" t="s">
        <v>253</v>
      </c>
      <c r="I256" s="18" t="s">
        <v>1973</v>
      </c>
      <c r="J256" s="18" t="s">
        <v>1974</v>
      </c>
      <c r="K256" s="18" t="s">
        <v>1975</v>
      </c>
      <c r="L256" s="19">
        <v>15900</v>
      </c>
    </row>
    <row r="257" spans="1:12" ht="18" customHeight="1">
      <c r="A257" s="16" t="s">
        <v>1976</v>
      </c>
      <c r="B257" s="17" t="s">
        <v>1977</v>
      </c>
      <c r="C257" s="18" t="s">
        <v>1978</v>
      </c>
      <c r="D257" s="18" t="s">
        <v>1979</v>
      </c>
      <c r="E257" s="18" t="s">
        <v>1980</v>
      </c>
      <c r="F257" s="18" t="s">
        <v>1901</v>
      </c>
      <c r="G257" s="18" t="s">
        <v>237</v>
      </c>
      <c r="H257" s="18" t="s">
        <v>205</v>
      </c>
      <c r="I257" s="18" t="s">
        <v>1981</v>
      </c>
      <c r="J257" s="18" t="s">
        <v>1982</v>
      </c>
      <c r="K257" s="18" t="s">
        <v>1983</v>
      </c>
      <c r="L257" s="19">
        <v>86599</v>
      </c>
    </row>
    <row r="258" spans="1:12" ht="18" customHeight="1">
      <c r="A258" s="16" t="s">
        <v>1984</v>
      </c>
      <c r="B258" s="17" t="s">
        <v>1985</v>
      </c>
      <c r="C258" s="18" t="s">
        <v>1986</v>
      </c>
      <c r="D258" s="18" t="s">
        <v>1987</v>
      </c>
      <c r="E258" s="18" t="s">
        <v>1988</v>
      </c>
      <c r="F258" s="18" t="s">
        <v>1901</v>
      </c>
      <c r="G258" s="18" t="s">
        <v>237</v>
      </c>
      <c r="H258" s="18" t="s">
        <v>205</v>
      </c>
      <c r="I258" s="18" t="s">
        <v>1989</v>
      </c>
      <c r="J258" s="18" t="s">
        <v>1990</v>
      </c>
      <c r="K258" s="18" t="s">
        <v>208</v>
      </c>
      <c r="L258" s="19">
        <v>86000</v>
      </c>
    </row>
    <row r="259" spans="1:12" ht="18" customHeight="1">
      <c r="A259" s="16" t="s">
        <v>1991</v>
      </c>
      <c r="B259" s="17" t="s">
        <v>1992</v>
      </c>
      <c r="C259" s="18" t="s">
        <v>1993</v>
      </c>
      <c r="D259" s="18" t="s">
        <v>1994</v>
      </c>
      <c r="E259" s="18" t="s">
        <v>1995</v>
      </c>
      <c r="F259" s="18" t="s">
        <v>1901</v>
      </c>
      <c r="G259" s="18" t="s">
        <v>237</v>
      </c>
      <c r="H259" s="18" t="s">
        <v>106</v>
      </c>
      <c r="I259" s="18" t="s">
        <v>1996</v>
      </c>
      <c r="J259" s="18" t="s">
        <v>1997</v>
      </c>
      <c r="K259" s="18" t="s">
        <v>1998</v>
      </c>
      <c r="L259" s="19">
        <v>26200</v>
      </c>
    </row>
    <row r="260" spans="1:12" ht="18" customHeight="1">
      <c r="A260" s="16" t="s">
        <v>1999</v>
      </c>
      <c r="B260" s="17" t="s">
        <v>2000</v>
      </c>
      <c r="C260" s="18" t="s">
        <v>2001</v>
      </c>
      <c r="D260" s="18" t="s">
        <v>2002</v>
      </c>
      <c r="E260" s="18" t="s">
        <v>2003</v>
      </c>
      <c r="F260" s="18" t="s">
        <v>1901</v>
      </c>
      <c r="G260" s="18" t="s">
        <v>237</v>
      </c>
      <c r="H260" s="18" t="s">
        <v>99</v>
      </c>
      <c r="I260" s="18" t="s">
        <v>2004</v>
      </c>
      <c r="J260" s="18" t="s">
        <v>2005</v>
      </c>
      <c r="K260" s="18" t="s">
        <v>1382</v>
      </c>
      <c r="L260" s="19">
        <v>33076</v>
      </c>
    </row>
    <row r="261" spans="1:12" ht="18" customHeight="1">
      <c r="A261" s="16" t="s">
        <v>2006</v>
      </c>
      <c r="B261" s="17" t="s">
        <v>2007</v>
      </c>
      <c r="C261" s="18" t="s">
        <v>2008</v>
      </c>
      <c r="D261" s="18" t="s">
        <v>2009</v>
      </c>
      <c r="E261" s="18" t="s">
        <v>2010</v>
      </c>
      <c r="F261" s="18" t="s">
        <v>1901</v>
      </c>
      <c r="G261" s="18" t="s">
        <v>237</v>
      </c>
      <c r="H261" s="18" t="s">
        <v>99</v>
      </c>
      <c r="I261" s="18" t="s">
        <v>2011</v>
      </c>
      <c r="J261" s="18" t="s">
        <v>2012</v>
      </c>
      <c r="K261" s="18" t="s">
        <v>2013</v>
      </c>
      <c r="L261" s="19">
        <v>32695</v>
      </c>
    </row>
    <row r="262" spans="1:12" ht="18" customHeight="1">
      <c r="A262" s="16" t="s">
        <v>2014</v>
      </c>
      <c r="B262" s="17" t="s">
        <v>2015</v>
      </c>
      <c r="C262" s="18" t="s">
        <v>2016</v>
      </c>
      <c r="D262" s="18" t="s">
        <v>2017</v>
      </c>
      <c r="E262" s="18" t="s">
        <v>2018</v>
      </c>
      <c r="F262" s="18" t="s">
        <v>1901</v>
      </c>
      <c r="G262" s="18" t="s">
        <v>237</v>
      </c>
      <c r="H262" s="18" t="s">
        <v>121</v>
      </c>
      <c r="I262" s="18" t="s">
        <v>2019</v>
      </c>
      <c r="J262" s="18" t="s">
        <v>2020</v>
      </c>
      <c r="K262" s="18" t="s">
        <v>2021</v>
      </c>
      <c r="L262" s="19">
        <v>35168</v>
      </c>
    </row>
    <row r="263" spans="1:12" ht="18" customHeight="1">
      <c r="A263" s="16" t="s">
        <v>2022</v>
      </c>
      <c r="B263" s="17" t="s">
        <v>2023</v>
      </c>
      <c r="C263" s="18" t="s">
        <v>2024</v>
      </c>
      <c r="D263" s="18" t="s">
        <v>2025</v>
      </c>
      <c r="E263" s="18" t="s">
        <v>2026</v>
      </c>
      <c r="F263" s="18" t="s">
        <v>1901</v>
      </c>
      <c r="G263" s="18" t="s">
        <v>237</v>
      </c>
      <c r="H263" s="18" t="s">
        <v>213</v>
      </c>
      <c r="I263" s="18" t="s">
        <v>2027</v>
      </c>
      <c r="J263" s="18" t="s">
        <v>2028</v>
      </c>
      <c r="K263" s="18" t="s">
        <v>216</v>
      </c>
      <c r="L263" s="19">
        <v>87020</v>
      </c>
    </row>
    <row r="264" spans="1:12" ht="18" customHeight="1">
      <c r="A264" s="16" t="s">
        <v>2029</v>
      </c>
      <c r="B264" s="17" t="s">
        <v>2030</v>
      </c>
      <c r="C264" s="18" t="s">
        <v>2031</v>
      </c>
      <c r="D264" s="18" t="s">
        <v>2032</v>
      </c>
      <c r="E264" s="18" t="s">
        <v>2033</v>
      </c>
      <c r="F264" s="18" t="s">
        <v>1901</v>
      </c>
      <c r="G264" s="18" t="s">
        <v>237</v>
      </c>
      <c r="H264" s="18" t="s">
        <v>99</v>
      </c>
      <c r="I264" s="18" t="s">
        <v>2034</v>
      </c>
      <c r="J264" s="18" t="s">
        <v>2035</v>
      </c>
      <c r="K264" s="18" t="s">
        <v>99</v>
      </c>
      <c r="L264" s="19">
        <v>31203</v>
      </c>
    </row>
    <row r="265" spans="1:12" ht="18" customHeight="1">
      <c r="A265" s="16" t="s">
        <v>2036</v>
      </c>
      <c r="B265" s="17" t="s">
        <v>2037</v>
      </c>
      <c r="C265" s="18" t="s">
        <v>2038</v>
      </c>
      <c r="D265" s="18" t="s">
        <v>2039</v>
      </c>
      <c r="E265" s="18" t="s">
        <v>2040</v>
      </c>
      <c r="F265" s="18" t="s">
        <v>1901</v>
      </c>
      <c r="G265" s="18" t="s">
        <v>237</v>
      </c>
      <c r="H265" s="18" t="s">
        <v>253</v>
      </c>
      <c r="I265" s="18" t="s">
        <v>2041</v>
      </c>
      <c r="J265" s="18" t="s">
        <v>2042</v>
      </c>
      <c r="K265" s="18" t="s">
        <v>281</v>
      </c>
      <c r="L265" s="19" t="s">
        <v>2043</v>
      </c>
    </row>
    <row r="266" spans="1:12" ht="18" customHeight="1">
      <c r="A266" s="16" t="s">
        <v>2044</v>
      </c>
      <c r="B266" s="17" t="s">
        <v>2045</v>
      </c>
      <c r="C266" s="18" t="s">
        <v>2046</v>
      </c>
      <c r="D266" s="18" t="s">
        <v>2047</v>
      </c>
      <c r="E266" s="18" t="s">
        <v>2048</v>
      </c>
      <c r="F266" s="18" t="s">
        <v>1901</v>
      </c>
      <c r="G266" s="18" t="s">
        <v>237</v>
      </c>
      <c r="H266" s="18" t="s">
        <v>616</v>
      </c>
      <c r="I266" s="18" t="s">
        <v>2049</v>
      </c>
      <c r="J266" s="18" t="s">
        <v>2050</v>
      </c>
      <c r="K266" s="18" t="s">
        <v>2051</v>
      </c>
      <c r="L266" s="19">
        <v>94657</v>
      </c>
    </row>
    <row r="267" spans="1:12" ht="18" customHeight="1">
      <c r="A267" s="16" t="s">
        <v>2052</v>
      </c>
      <c r="B267" s="17" t="s">
        <v>2053</v>
      </c>
      <c r="C267" s="18" t="s">
        <v>2054</v>
      </c>
      <c r="D267" s="18" t="s">
        <v>2055</v>
      </c>
      <c r="E267" s="18" t="s">
        <v>2056</v>
      </c>
      <c r="F267" s="18" t="s">
        <v>1901</v>
      </c>
      <c r="G267" s="18" t="s">
        <v>237</v>
      </c>
      <c r="H267" s="18" t="s">
        <v>253</v>
      </c>
      <c r="I267" s="18" t="s">
        <v>2057</v>
      </c>
      <c r="J267" s="18" t="s">
        <v>2058</v>
      </c>
      <c r="K267" s="18" t="s">
        <v>1217</v>
      </c>
      <c r="L267" s="19" t="s">
        <v>2059</v>
      </c>
    </row>
    <row r="268" spans="1:12" ht="18" customHeight="1">
      <c r="A268" s="16" t="s">
        <v>2060</v>
      </c>
      <c r="B268" s="17" t="s">
        <v>2061</v>
      </c>
      <c r="C268" s="18" t="s">
        <v>2062</v>
      </c>
      <c r="D268" s="18" t="s">
        <v>2063</v>
      </c>
      <c r="E268" s="18" t="s">
        <v>2064</v>
      </c>
      <c r="F268" s="18" t="s">
        <v>1901</v>
      </c>
      <c r="G268" s="18" t="s">
        <v>237</v>
      </c>
      <c r="H268" s="18" t="s">
        <v>294</v>
      </c>
      <c r="I268" s="18" t="s">
        <v>2065</v>
      </c>
      <c r="J268" s="18" t="s">
        <v>2066</v>
      </c>
      <c r="K268" s="18" t="s">
        <v>2067</v>
      </c>
      <c r="L268" s="19">
        <v>54769</v>
      </c>
    </row>
    <row r="269" spans="1:12" ht="18" customHeight="1">
      <c r="A269" s="16" t="s">
        <v>2068</v>
      </c>
      <c r="B269" s="17" t="s">
        <v>2069</v>
      </c>
      <c r="C269" s="18" t="s">
        <v>2070</v>
      </c>
      <c r="D269" s="18" t="s">
        <v>2071</v>
      </c>
      <c r="E269" s="18" t="s">
        <v>2072</v>
      </c>
      <c r="F269" s="18" t="s">
        <v>1901</v>
      </c>
      <c r="G269" s="18" t="s">
        <v>237</v>
      </c>
      <c r="H269" s="18" t="s">
        <v>253</v>
      </c>
      <c r="I269" s="18" t="s">
        <v>2073</v>
      </c>
      <c r="J269" s="18" t="s">
        <v>2074</v>
      </c>
      <c r="K269" s="18" t="s">
        <v>1966</v>
      </c>
      <c r="L269" s="19" t="s">
        <v>2075</v>
      </c>
    </row>
    <row r="270" spans="1:12" ht="18" customHeight="1">
      <c r="A270" s="16" t="s">
        <v>2076</v>
      </c>
      <c r="B270" s="17" t="s">
        <v>2077</v>
      </c>
      <c r="C270" s="18" t="s">
        <v>2078</v>
      </c>
      <c r="D270" s="18" t="s">
        <v>2079</v>
      </c>
      <c r="E270" s="18" t="s">
        <v>2080</v>
      </c>
      <c r="F270" s="18" t="s">
        <v>1901</v>
      </c>
      <c r="G270" s="18" t="s">
        <v>237</v>
      </c>
      <c r="H270" s="18" t="s">
        <v>504</v>
      </c>
      <c r="I270" s="18" t="s">
        <v>2081</v>
      </c>
      <c r="J270" s="18" t="s">
        <v>2082</v>
      </c>
      <c r="K270" s="18" t="s">
        <v>894</v>
      </c>
      <c r="L270" s="19">
        <v>80260</v>
      </c>
    </row>
    <row r="271" spans="1:12" ht="18" customHeight="1">
      <c r="A271" s="16" t="s">
        <v>2083</v>
      </c>
      <c r="B271" s="17" t="s">
        <v>2084</v>
      </c>
      <c r="C271" s="18" t="s">
        <v>2085</v>
      </c>
      <c r="D271" s="18" t="s">
        <v>2086</v>
      </c>
      <c r="E271" s="18" t="s">
        <v>2087</v>
      </c>
      <c r="F271" s="18" t="s">
        <v>1901</v>
      </c>
      <c r="G271" s="18" t="s">
        <v>237</v>
      </c>
      <c r="H271" s="18" t="s">
        <v>253</v>
      </c>
      <c r="I271" s="18" t="s">
        <v>2088</v>
      </c>
      <c r="J271" s="18" t="s">
        <v>2089</v>
      </c>
      <c r="K271" s="18" t="s">
        <v>330</v>
      </c>
      <c r="L271" s="19" t="s">
        <v>331</v>
      </c>
    </row>
    <row r="272" spans="1:12" ht="18" customHeight="1">
      <c r="A272" s="16" t="s">
        <v>2090</v>
      </c>
      <c r="B272" s="17" t="s">
        <v>2091</v>
      </c>
      <c r="C272" s="18" t="s">
        <v>2092</v>
      </c>
      <c r="D272" s="18" t="s">
        <v>2093</v>
      </c>
      <c r="E272" s="18" t="s">
        <v>2094</v>
      </c>
      <c r="F272" s="18" t="s">
        <v>1901</v>
      </c>
      <c r="G272" s="18" t="s">
        <v>237</v>
      </c>
      <c r="H272" s="18" t="s">
        <v>253</v>
      </c>
      <c r="I272" s="18" t="s">
        <v>2095</v>
      </c>
      <c r="J272" s="18" t="s">
        <v>2096</v>
      </c>
      <c r="K272" s="18" t="s">
        <v>1217</v>
      </c>
      <c r="L272" s="19" t="s">
        <v>2097</v>
      </c>
    </row>
    <row r="273" spans="1:12" ht="18" customHeight="1">
      <c r="A273" s="16" t="s">
        <v>2098</v>
      </c>
      <c r="B273" s="17" t="s">
        <v>2099</v>
      </c>
      <c r="C273" s="18" t="s">
        <v>2100</v>
      </c>
      <c r="D273" s="18" t="s">
        <v>2101</v>
      </c>
      <c r="E273" s="18" t="s">
        <v>2102</v>
      </c>
      <c r="F273" s="18" t="s">
        <v>1901</v>
      </c>
      <c r="G273" s="18" t="s">
        <v>237</v>
      </c>
      <c r="H273" s="18" t="s">
        <v>632</v>
      </c>
      <c r="I273" s="18" t="s">
        <v>2103</v>
      </c>
      <c r="J273" s="18" t="s">
        <v>2104</v>
      </c>
      <c r="K273" s="18" t="s">
        <v>915</v>
      </c>
      <c r="L273" s="19">
        <v>44340</v>
      </c>
    </row>
    <row r="274" spans="1:12" ht="18" customHeight="1">
      <c r="A274" s="16" t="s">
        <v>2105</v>
      </c>
      <c r="B274" s="17" t="s">
        <v>2106</v>
      </c>
      <c r="C274" s="18" t="s">
        <v>2107</v>
      </c>
      <c r="D274" s="18" t="s">
        <v>2108</v>
      </c>
      <c r="E274" s="18" t="s">
        <v>2109</v>
      </c>
      <c r="F274" s="18" t="s">
        <v>1901</v>
      </c>
      <c r="G274" s="18" t="s">
        <v>237</v>
      </c>
      <c r="H274" s="18" t="s">
        <v>253</v>
      </c>
      <c r="I274" s="18" t="s">
        <v>2110</v>
      </c>
      <c r="J274" s="18" t="s">
        <v>2111</v>
      </c>
      <c r="K274" s="18" t="s">
        <v>1217</v>
      </c>
      <c r="L274" s="19" t="s">
        <v>2112</v>
      </c>
    </row>
    <row r="275" spans="1:12" ht="18" customHeight="1">
      <c r="A275" s="16" t="s">
        <v>2113</v>
      </c>
      <c r="B275" s="17" t="s">
        <v>2114</v>
      </c>
      <c r="C275" s="18" t="s">
        <v>2115</v>
      </c>
      <c r="D275" s="18" t="s">
        <v>2116</v>
      </c>
      <c r="E275" s="18" t="s">
        <v>2117</v>
      </c>
      <c r="F275" s="18" t="s">
        <v>1901</v>
      </c>
      <c r="G275" s="18" t="s">
        <v>237</v>
      </c>
      <c r="H275" s="18" t="s">
        <v>253</v>
      </c>
      <c r="I275" s="18" t="s">
        <v>2118</v>
      </c>
      <c r="J275" s="18" t="s">
        <v>2119</v>
      </c>
      <c r="K275" s="18" t="s">
        <v>281</v>
      </c>
      <c r="L275" s="19" t="s">
        <v>2120</v>
      </c>
    </row>
    <row r="276" spans="1:12" ht="18" customHeight="1">
      <c r="A276" s="16" t="s">
        <v>2121</v>
      </c>
      <c r="B276" s="17" t="s">
        <v>2122</v>
      </c>
      <c r="C276" s="18" t="s">
        <v>2123</v>
      </c>
      <c r="D276" s="18" t="s">
        <v>2124</v>
      </c>
      <c r="E276" s="18" t="s">
        <v>2125</v>
      </c>
      <c r="F276" s="18" t="s">
        <v>1901</v>
      </c>
      <c r="G276" s="18" t="s">
        <v>237</v>
      </c>
      <c r="H276" s="18" t="s">
        <v>152</v>
      </c>
      <c r="I276" s="18" t="s">
        <v>2126</v>
      </c>
      <c r="J276" s="18" t="s">
        <v>2127</v>
      </c>
      <c r="K276" s="18" t="s">
        <v>155</v>
      </c>
      <c r="L276" s="19">
        <v>63117</v>
      </c>
    </row>
    <row r="277" spans="1:12" ht="18" customHeight="1">
      <c r="A277" s="16" t="s">
        <v>2128</v>
      </c>
      <c r="B277" s="17" t="s">
        <v>2129</v>
      </c>
      <c r="C277" s="18" t="s">
        <v>2130</v>
      </c>
      <c r="D277" s="18" t="s">
        <v>2131</v>
      </c>
      <c r="E277" s="18" t="s">
        <v>2132</v>
      </c>
      <c r="F277" s="18" t="s">
        <v>1901</v>
      </c>
      <c r="G277" s="18" t="s">
        <v>237</v>
      </c>
      <c r="H277" s="18" t="s">
        <v>121</v>
      </c>
      <c r="I277" s="18" t="s">
        <v>2133</v>
      </c>
      <c r="J277" s="18" t="s">
        <v>2134</v>
      </c>
      <c r="K277" s="18" t="s">
        <v>121</v>
      </c>
      <c r="L277" s="19">
        <v>34000</v>
      </c>
    </row>
    <row r="278" spans="1:12" ht="18" customHeight="1">
      <c r="A278" s="16" t="s">
        <v>2135</v>
      </c>
      <c r="B278" s="17" t="s">
        <v>2136</v>
      </c>
      <c r="C278" s="18" t="s">
        <v>2137</v>
      </c>
      <c r="D278" s="18" t="s">
        <v>2138</v>
      </c>
      <c r="E278" s="18" t="s">
        <v>2139</v>
      </c>
      <c r="F278" s="18" t="s">
        <v>1901</v>
      </c>
      <c r="G278" s="18" t="s">
        <v>237</v>
      </c>
      <c r="H278" s="18" t="s">
        <v>294</v>
      </c>
      <c r="I278" s="18" t="s">
        <v>2140</v>
      </c>
      <c r="J278" s="18" t="s">
        <v>2141</v>
      </c>
      <c r="K278" s="18" t="s">
        <v>304</v>
      </c>
      <c r="L278" s="19">
        <v>55000</v>
      </c>
    </row>
    <row r="279" spans="1:12" ht="18" customHeight="1">
      <c r="A279" s="16" t="s">
        <v>2142</v>
      </c>
      <c r="B279" s="17" t="s">
        <v>2143</v>
      </c>
      <c r="C279" s="18" t="s">
        <v>2144</v>
      </c>
      <c r="D279" s="18" t="s">
        <v>2145</v>
      </c>
      <c r="E279" s="18" t="s">
        <v>2146</v>
      </c>
      <c r="F279" s="18" t="s">
        <v>1901</v>
      </c>
      <c r="G279" s="18" t="s">
        <v>237</v>
      </c>
      <c r="H279" s="18" t="s">
        <v>253</v>
      </c>
      <c r="I279" s="18" t="s">
        <v>2147</v>
      </c>
      <c r="J279" s="18" t="s">
        <v>2148</v>
      </c>
      <c r="K279" s="18" t="s">
        <v>330</v>
      </c>
      <c r="L279" s="19" t="s">
        <v>2149</v>
      </c>
    </row>
    <row r="280" spans="1:12" ht="18" customHeight="1">
      <c r="A280" s="16" t="s">
        <v>2150</v>
      </c>
      <c r="B280" s="17" t="s">
        <v>2151</v>
      </c>
      <c r="C280" s="18" t="s">
        <v>2152</v>
      </c>
      <c r="D280" s="18" t="s">
        <v>2153</v>
      </c>
      <c r="E280" s="18" t="s">
        <v>2154</v>
      </c>
      <c r="F280" s="18" t="s">
        <v>1901</v>
      </c>
      <c r="G280" s="18" t="s">
        <v>237</v>
      </c>
      <c r="H280" s="18" t="s">
        <v>253</v>
      </c>
      <c r="I280" s="18" t="s">
        <v>2155</v>
      </c>
      <c r="J280" s="18" t="s">
        <v>2156</v>
      </c>
      <c r="K280" s="18" t="s">
        <v>1277</v>
      </c>
      <c r="L280" s="19" t="s">
        <v>2157</v>
      </c>
    </row>
    <row r="281" spans="1:12" ht="18" customHeight="1">
      <c r="A281" s="16" t="s">
        <v>2158</v>
      </c>
      <c r="B281" s="17" t="s">
        <v>2159</v>
      </c>
      <c r="C281" s="18" t="s">
        <v>2160</v>
      </c>
      <c r="D281" s="18" t="s">
        <v>2161</v>
      </c>
      <c r="E281" s="18" t="s">
        <v>2162</v>
      </c>
      <c r="F281" s="18" t="s">
        <v>1901</v>
      </c>
      <c r="G281" s="18" t="s">
        <v>237</v>
      </c>
      <c r="H281" s="18" t="s">
        <v>160</v>
      </c>
      <c r="I281" s="18" t="s">
        <v>2163</v>
      </c>
      <c r="J281" s="18" t="s">
        <v>2164</v>
      </c>
      <c r="K281" s="18" t="s">
        <v>2165</v>
      </c>
      <c r="L281" s="19">
        <v>66072</v>
      </c>
    </row>
    <row r="282" spans="1:12" ht="18" customHeight="1">
      <c r="A282" s="16" t="s">
        <v>2166</v>
      </c>
      <c r="B282" s="17" t="s">
        <v>2167</v>
      </c>
      <c r="C282" s="18" t="s">
        <v>2168</v>
      </c>
      <c r="D282" s="18" t="s">
        <v>2169</v>
      </c>
      <c r="E282" s="18" t="s">
        <v>2170</v>
      </c>
      <c r="F282" s="18" t="s">
        <v>1901</v>
      </c>
      <c r="G282" s="18" t="s">
        <v>237</v>
      </c>
      <c r="H282" s="18" t="s">
        <v>253</v>
      </c>
      <c r="I282" s="18" t="s">
        <v>2171</v>
      </c>
      <c r="J282" s="18" t="s">
        <v>2172</v>
      </c>
      <c r="K282" s="18" t="s">
        <v>1028</v>
      </c>
      <c r="L282" s="19">
        <v>14410</v>
      </c>
    </row>
    <row r="283" spans="1:12" ht="18" customHeight="1">
      <c r="A283" s="16" t="s">
        <v>2173</v>
      </c>
      <c r="B283" s="17" t="s">
        <v>2174</v>
      </c>
      <c r="C283" s="18" t="s">
        <v>2175</v>
      </c>
      <c r="D283" s="18" t="s">
        <v>2176</v>
      </c>
      <c r="E283" s="18" t="s">
        <v>2177</v>
      </c>
      <c r="F283" s="18" t="s">
        <v>1901</v>
      </c>
      <c r="G283" s="18" t="s">
        <v>237</v>
      </c>
      <c r="H283" s="18" t="s">
        <v>632</v>
      </c>
      <c r="I283" s="18" t="s">
        <v>2178</v>
      </c>
      <c r="J283" s="18" t="s">
        <v>2179</v>
      </c>
      <c r="K283" s="18" t="s">
        <v>2180</v>
      </c>
      <c r="L283" s="19">
        <v>44860</v>
      </c>
    </row>
    <row r="284" spans="1:12" ht="18" customHeight="1">
      <c r="A284" s="16" t="s">
        <v>2181</v>
      </c>
      <c r="B284" s="17" t="s">
        <v>2182</v>
      </c>
      <c r="C284" s="18" t="s">
        <v>2183</v>
      </c>
      <c r="D284" s="18" t="s">
        <v>2184</v>
      </c>
      <c r="E284" s="18" t="s">
        <v>2185</v>
      </c>
      <c r="F284" s="18" t="s">
        <v>1901</v>
      </c>
      <c r="G284" s="18" t="s">
        <v>237</v>
      </c>
      <c r="H284" s="18" t="s">
        <v>632</v>
      </c>
      <c r="I284" s="18" t="s">
        <v>2186</v>
      </c>
      <c r="J284" s="18" t="s">
        <v>2187</v>
      </c>
      <c r="K284" s="18" t="s">
        <v>915</v>
      </c>
      <c r="L284" s="19">
        <v>44860</v>
      </c>
    </row>
    <row r="285" spans="1:12" ht="18" customHeight="1">
      <c r="A285" s="16" t="s">
        <v>2188</v>
      </c>
      <c r="B285" s="17" t="s">
        <v>2189</v>
      </c>
      <c r="C285" s="18" t="s">
        <v>2190</v>
      </c>
      <c r="D285" s="18" t="s">
        <v>2191</v>
      </c>
      <c r="E285" s="18" t="s">
        <v>2192</v>
      </c>
      <c r="F285" s="18" t="s">
        <v>1901</v>
      </c>
      <c r="G285" s="18" t="s">
        <v>237</v>
      </c>
      <c r="H285" s="18" t="s">
        <v>253</v>
      </c>
      <c r="I285" s="18" t="s">
        <v>2193</v>
      </c>
      <c r="J285" s="18" t="s">
        <v>2194</v>
      </c>
      <c r="K285" s="18" t="s">
        <v>281</v>
      </c>
      <c r="L285" s="19" t="s">
        <v>2195</v>
      </c>
    </row>
    <row r="286" spans="1:12" ht="18" customHeight="1">
      <c r="A286" s="16" t="s">
        <v>2196</v>
      </c>
      <c r="B286" s="17" t="s">
        <v>2197</v>
      </c>
      <c r="C286" s="18" t="s">
        <v>2198</v>
      </c>
      <c r="D286" s="18" t="s">
        <v>2199</v>
      </c>
      <c r="E286" s="18" t="s">
        <v>2200</v>
      </c>
      <c r="F286" s="18" t="s">
        <v>1901</v>
      </c>
      <c r="G286" s="18" t="s">
        <v>237</v>
      </c>
      <c r="H286" s="18" t="s">
        <v>228</v>
      </c>
      <c r="I286" s="18" t="s">
        <v>2193</v>
      </c>
      <c r="J286" s="18" t="s">
        <v>2201</v>
      </c>
      <c r="K286" s="18" t="s">
        <v>163</v>
      </c>
      <c r="L286" s="19">
        <v>98600</v>
      </c>
    </row>
    <row r="287" spans="1:12" ht="18" customHeight="1">
      <c r="A287" s="16" t="s">
        <v>2202</v>
      </c>
      <c r="B287" s="17" t="s">
        <v>2203</v>
      </c>
      <c r="C287" s="18" t="s">
        <v>2204</v>
      </c>
      <c r="D287" s="18" t="s">
        <v>2205</v>
      </c>
      <c r="E287" s="18" t="s">
        <v>2206</v>
      </c>
      <c r="F287" s="18" t="s">
        <v>1901</v>
      </c>
      <c r="G287" s="18" t="s">
        <v>237</v>
      </c>
      <c r="H287" s="18" t="s">
        <v>160</v>
      </c>
      <c r="I287" s="18" t="s">
        <v>2207</v>
      </c>
      <c r="J287" s="18" t="s">
        <v>2208</v>
      </c>
      <c r="K287" s="18" t="s">
        <v>930</v>
      </c>
      <c r="L287" s="19">
        <v>67195</v>
      </c>
    </row>
    <row r="288" spans="1:12" ht="18" customHeight="1">
      <c r="A288" s="16" t="s">
        <v>2209</v>
      </c>
      <c r="B288" s="17" t="s">
        <v>2210</v>
      </c>
      <c r="C288" s="18" t="s">
        <v>2211</v>
      </c>
      <c r="D288" s="18" t="s">
        <v>2212</v>
      </c>
      <c r="E288" s="18" t="s">
        <v>2213</v>
      </c>
      <c r="F288" s="18" t="s">
        <v>1901</v>
      </c>
      <c r="G288" s="18" t="s">
        <v>237</v>
      </c>
      <c r="H288" s="18" t="s">
        <v>253</v>
      </c>
      <c r="I288" s="18" t="s">
        <v>2214</v>
      </c>
      <c r="J288" s="18" t="s">
        <v>2215</v>
      </c>
      <c r="K288" s="18" t="s">
        <v>281</v>
      </c>
      <c r="L288" s="19" t="s">
        <v>282</v>
      </c>
    </row>
    <row r="289" spans="1:12" ht="18" customHeight="1">
      <c r="A289" s="16" t="s">
        <v>2216</v>
      </c>
      <c r="B289" s="17" t="s">
        <v>2217</v>
      </c>
      <c r="C289" s="18" t="s">
        <v>2218</v>
      </c>
      <c r="D289" s="18" t="s">
        <v>2219</v>
      </c>
      <c r="E289" s="18" t="s">
        <v>2220</v>
      </c>
      <c r="F289" s="18" t="s">
        <v>1901</v>
      </c>
      <c r="G289" s="18" t="s">
        <v>237</v>
      </c>
      <c r="H289" s="18" t="s">
        <v>253</v>
      </c>
      <c r="I289" s="18" t="s">
        <v>2221</v>
      </c>
      <c r="J289" s="18" t="s">
        <v>2222</v>
      </c>
      <c r="K289" s="18" t="s">
        <v>338</v>
      </c>
      <c r="L289" s="19" t="s">
        <v>2223</v>
      </c>
    </row>
    <row r="290" spans="1:12" ht="18" customHeight="1">
      <c r="A290" s="16" t="s">
        <v>2224</v>
      </c>
      <c r="B290" s="17" t="s">
        <v>2225</v>
      </c>
      <c r="C290" s="18" t="s">
        <v>2226</v>
      </c>
      <c r="D290" s="18" t="s">
        <v>2227</v>
      </c>
      <c r="E290" s="18" t="s">
        <v>2228</v>
      </c>
      <c r="F290" s="18" t="s">
        <v>1901</v>
      </c>
      <c r="G290" s="18" t="s">
        <v>237</v>
      </c>
      <c r="H290" s="18" t="s">
        <v>197</v>
      </c>
      <c r="I290" s="18" t="s">
        <v>2229</v>
      </c>
      <c r="J290" s="18" t="s">
        <v>2230</v>
      </c>
      <c r="K290" s="18" t="s">
        <v>200</v>
      </c>
      <c r="L290" s="19">
        <v>83140</v>
      </c>
    </row>
    <row r="291" spans="1:12" ht="18" customHeight="1">
      <c r="A291" s="16" t="s">
        <v>2231</v>
      </c>
      <c r="B291" s="17" t="s">
        <v>2232</v>
      </c>
      <c r="C291" s="18" t="s">
        <v>2233</v>
      </c>
      <c r="D291" s="18" t="s">
        <v>2234</v>
      </c>
      <c r="E291" s="18" t="s">
        <v>2235</v>
      </c>
      <c r="F291" s="18" t="s">
        <v>1901</v>
      </c>
      <c r="G291" s="18" t="s">
        <v>237</v>
      </c>
      <c r="H291" s="18" t="s">
        <v>616</v>
      </c>
      <c r="I291" s="18" t="s">
        <v>2236</v>
      </c>
      <c r="J291" s="18" t="s">
        <v>2237</v>
      </c>
      <c r="K291" s="18" t="s">
        <v>616</v>
      </c>
      <c r="L291" s="19">
        <v>91779</v>
      </c>
    </row>
    <row r="292" spans="1:12" ht="18" customHeight="1">
      <c r="A292" s="16" t="s">
        <v>2238</v>
      </c>
      <c r="B292" s="17" t="s">
        <v>2239</v>
      </c>
      <c r="C292" s="18" t="s">
        <v>2240</v>
      </c>
      <c r="D292" s="18" t="s">
        <v>2241</v>
      </c>
      <c r="E292" s="18" t="s">
        <v>2242</v>
      </c>
      <c r="F292" s="18" t="s">
        <v>1901</v>
      </c>
      <c r="G292" s="18" t="s">
        <v>237</v>
      </c>
      <c r="H292" s="18" t="s">
        <v>253</v>
      </c>
      <c r="I292" s="18" t="s">
        <v>2243</v>
      </c>
      <c r="J292" s="18" t="s">
        <v>2244</v>
      </c>
      <c r="K292" s="18" t="s">
        <v>1277</v>
      </c>
      <c r="L292" s="19" t="s">
        <v>2245</v>
      </c>
    </row>
    <row r="293" spans="1:12" ht="18" customHeight="1">
      <c r="A293" s="16" t="s">
        <v>2246</v>
      </c>
      <c r="B293" s="17" t="s">
        <v>2247</v>
      </c>
      <c r="C293" s="18" t="s">
        <v>2248</v>
      </c>
      <c r="D293" s="18" t="s">
        <v>2249</v>
      </c>
      <c r="E293" s="18" t="s">
        <v>2250</v>
      </c>
      <c r="F293" s="18" t="s">
        <v>1901</v>
      </c>
      <c r="G293" s="18" t="s">
        <v>237</v>
      </c>
      <c r="H293" s="18" t="s">
        <v>253</v>
      </c>
      <c r="I293" s="18" t="s">
        <v>2251</v>
      </c>
      <c r="J293" s="18" t="s">
        <v>2252</v>
      </c>
      <c r="K293" s="18" t="s">
        <v>1277</v>
      </c>
      <c r="L293" s="19" t="s">
        <v>2253</v>
      </c>
    </row>
    <row r="294" spans="1:12" ht="18" customHeight="1">
      <c r="A294" s="16" t="s">
        <v>2254</v>
      </c>
      <c r="B294" s="17" t="s">
        <v>2255</v>
      </c>
      <c r="C294" s="18" t="s">
        <v>2256</v>
      </c>
      <c r="D294" s="18" t="s">
        <v>2257</v>
      </c>
      <c r="E294" s="18" t="s">
        <v>2258</v>
      </c>
      <c r="F294" s="18" t="s">
        <v>1901</v>
      </c>
      <c r="G294" s="18" t="s">
        <v>237</v>
      </c>
      <c r="H294" s="18" t="s">
        <v>253</v>
      </c>
      <c r="I294" s="18" t="s">
        <v>2259</v>
      </c>
      <c r="J294" s="18" t="s">
        <v>2260</v>
      </c>
      <c r="K294" s="18" t="s">
        <v>281</v>
      </c>
      <c r="L294" s="19" t="s">
        <v>2261</v>
      </c>
    </row>
    <row r="295" spans="1:12" ht="18" customHeight="1">
      <c r="A295" s="16" t="s">
        <v>2262</v>
      </c>
      <c r="B295" s="17" t="s">
        <v>2263</v>
      </c>
      <c r="C295" s="18" t="s">
        <v>2264</v>
      </c>
      <c r="D295" s="18" t="s">
        <v>2265</v>
      </c>
      <c r="E295" s="18" t="s">
        <v>2266</v>
      </c>
      <c r="F295" s="18" t="s">
        <v>1901</v>
      </c>
      <c r="G295" s="18" t="s">
        <v>237</v>
      </c>
      <c r="H295" s="18" t="s">
        <v>76</v>
      </c>
      <c r="I295" s="18" t="s">
        <v>2267</v>
      </c>
      <c r="J295" s="18" t="s">
        <v>2268</v>
      </c>
      <c r="K295" s="18" t="s">
        <v>79</v>
      </c>
      <c r="L295" s="19">
        <v>23040</v>
      </c>
    </row>
    <row r="296" spans="1:12" ht="18" customHeight="1">
      <c r="A296" s="16" t="s">
        <v>2269</v>
      </c>
      <c r="B296" s="17" t="s">
        <v>2270</v>
      </c>
      <c r="C296" s="18" t="s">
        <v>2271</v>
      </c>
      <c r="D296" s="18" t="s">
        <v>2272</v>
      </c>
      <c r="E296" s="18" t="s">
        <v>2273</v>
      </c>
      <c r="F296" s="18" t="s">
        <v>1901</v>
      </c>
      <c r="G296" s="18" t="s">
        <v>237</v>
      </c>
      <c r="H296" s="18" t="s">
        <v>1186</v>
      </c>
      <c r="I296" s="18" t="s">
        <v>2274</v>
      </c>
      <c r="J296" s="18" t="s">
        <v>2275</v>
      </c>
      <c r="K296" s="18" t="s">
        <v>2276</v>
      </c>
      <c r="L296" s="19">
        <v>59375</v>
      </c>
    </row>
    <row r="297" spans="1:12" ht="18" customHeight="1">
      <c r="A297" s="16" t="s">
        <v>2277</v>
      </c>
      <c r="B297" s="17" t="s">
        <v>2278</v>
      </c>
      <c r="C297" s="18" t="s">
        <v>2279</v>
      </c>
      <c r="D297" s="18" t="s">
        <v>2280</v>
      </c>
      <c r="E297" s="18" t="s">
        <v>2281</v>
      </c>
      <c r="F297" s="18" t="s">
        <v>1901</v>
      </c>
      <c r="G297" s="18" t="s">
        <v>237</v>
      </c>
      <c r="H297" s="18" t="s">
        <v>632</v>
      </c>
      <c r="I297" s="18" t="s">
        <v>2282</v>
      </c>
      <c r="J297" s="18" t="s">
        <v>2283</v>
      </c>
      <c r="K297" s="18" t="s">
        <v>2284</v>
      </c>
      <c r="L297" s="19">
        <v>47425</v>
      </c>
    </row>
    <row r="298" spans="1:12" ht="18" customHeight="1">
      <c r="A298" s="16" t="s">
        <v>2285</v>
      </c>
      <c r="B298" s="17" t="s">
        <v>2286</v>
      </c>
      <c r="C298" s="18" t="s">
        <v>2287</v>
      </c>
      <c r="D298" s="18" t="s">
        <v>2288</v>
      </c>
      <c r="E298" s="18" t="s">
        <v>2289</v>
      </c>
      <c r="F298" s="18" t="s">
        <v>1901</v>
      </c>
      <c r="G298" s="18" t="s">
        <v>237</v>
      </c>
      <c r="H298" s="18" t="s">
        <v>253</v>
      </c>
      <c r="I298" s="18" t="s">
        <v>2290</v>
      </c>
      <c r="J298" s="18" t="s">
        <v>2291</v>
      </c>
      <c r="K298" s="18" t="s">
        <v>1060</v>
      </c>
      <c r="L298" s="19">
        <v>11470</v>
      </c>
    </row>
    <row r="299" spans="1:12" ht="18" customHeight="1">
      <c r="A299" s="16" t="s">
        <v>2292</v>
      </c>
      <c r="B299" s="17" t="s">
        <v>2293</v>
      </c>
      <c r="C299" s="18" t="s">
        <v>2294</v>
      </c>
      <c r="D299" s="18" t="s">
        <v>2295</v>
      </c>
      <c r="E299" s="18" t="s">
        <v>2296</v>
      </c>
      <c r="F299" s="18" t="s">
        <v>1901</v>
      </c>
      <c r="G299" s="18" t="s">
        <v>237</v>
      </c>
      <c r="H299" s="18" t="s">
        <v>253</v>
      </c>
      <c r="I299" s="18" t="s">
        <v>2297</v>
      </c>
      <c r="J299" s="18" t="s">
        <v>2298</v>
      </c>
      <c r="K299" s="18" t="s">
        <v>1060</v>
      </c>
      <c r="L299" s="19">
        <v>11320</v>
      </c>
    </row>
    <row r="300" spans="1:12" ht="18" customHeight="1">
      <c r="A300" s="16" t="s">
        <v>2299</v>
      </c>
      <c r="B300" s="17" t="s">
        <v>2300</v>
      </c>
      <c r="C300" s="18" t="s">
        <v>2301</v>
      </c>
      <c r="D300" s="18" t="s">
        <v>2302</v>
      </c>
      <c r="E300" s="18" t="s">
        <v>2303</v>
      </c>
      <c r="F300" s="18" t="s">
        <v>1901</v>
      </c>
      <c r="G300" s="18" t="s">
        <v>237</v>
      </c>
      <c r="H300" s="18" t="s">
        <v>616</v>
      </c>
      <c r="I300" s="18" t="s">
        <v>2304</v>
      </c>
      <c r="J300" s="18" t="s">
        <v>2305</v>
      </c>
      <c r="K300" s="18" t="s">
        <v>2306</v>
      </c>
      <c r="L300" s="19">
        <v>93600</v>
      </c>
    </row>
    <row r="301" spans="1:12" ht="18" customHeight="1">
      <c r="A301" s="16" t="s">
        <v>2307</v>
      </c>
      <c r="B301" s="17" t="s">
        <v>2308</v>
      </c>
      <c r="C301" s="18" t="s">
        <v>2309</v>
      </c>
      <c r="D301" s="18" t="s">
        <v>2310</v>
      </c>
      <c r="E301" s="18" t="s">
        <v>2311</v>
      </c>
      <c r="F301" s="18" t="s">
        <v>1901</v>
      </c>
      <c r="G301" s="18" t="s">
        <v>237</v>
      </c>
      <c r="H301" s="18" t="s">
        <v>68</v>
      </c>
      <c r="I301" s="18" t="s">
        <v>2312</v>
      </c>
      <c r="J301" s="18" t="s">
        <v>2313</v>
      </c>
      <c r="K301" s="18" t="s">
        <v>2314</v>
      </c>
      <c r="L301" s="19">
        <v>22000</v>
      </c>
    </row>
    <row r="302" spans="1:12" ht="18" customHeight="1">
      <c r="A302" s="16" t="s">
        <v>2315</v>
      </c>
      <c r="B302" s="17" t="s">
        <v>2316</v>
      </c>
      <c r="C302" s="18" t="s">
        <v>2317</v>
      </c>
      <c r="D302" s="18" t="s">
        <v>2318</v>
      </c>
      <c r="E302" s="18" t="s">
        <v>2319</v>
      </c>
      <c r="F302" s="18" t="s">
        <v>1901</v>
      </c>
      <c r="G302" s="18" t="s">
        <v>237</v>
      </c>
      <c r="H302" s="18" t="s">
        <v>253</v>
      </c>
      <c r="I302" s="18" t="s">
        <v>2320</v>
      </c>
      <c r="J302" s="18" t="s">
        <v>2321</v>
      </c>
      <c r="K302" s="18" t="s">
        <v>2322</v>
      </c>
      <c r="L302" s="19">
        <v>12100</v>
      </c>
    </row>
    <row r="303" spans="1:12" ht="18" customHeight="1">
      <c r="A303" s="16" t="s">
        <v>2323</v>
      </c>
      <c r="B303" s="17" t="s">
        <v>2324</v>
      </c>
      <c r="C303" s="18" t="s">
        <v>2325</v>
      </c>
      <c r="D303" s="18" t="s">
        <v>2326</v>
      </c>
      <c r="E303" s="18" t="s">
        <v>2327</v>
      </c>
      <c r="F303" s="18" t="s">
        <v>1901</v>
      </c>
      <c r="G303" s="18" t="s">
        <v>237</v>
      </c>
      <c r="H303" s="18" t="s">
        <v>616</v>
      </c>
      <c r="I303" s="18" t="s">
        <v>2328</v>
      </c>
      <c r="J303" s="18" t="s">
        <v>2329</v>
      </c>
      <c r="K303" s="18" t="s">
        <v>2330</v>
      </c>
      <c r="L303" s="19">
        <v>96760</v>
      </c>
    </row>
    <row r="304" spans="1:12" ht="18" customHeight="1">
      <c r="A304" s="16" t="s">
        <v>2331</v>
      </c>
      <c r="B304" s="17" t="s">
        <v>2332</v>
      </c>
      <c r="C304" s="18" t="s">
        <v>2333</v>
      </c>
      <c r="D304" s="18" t="s">
        <v>2334</v>
      </c>
      <c r="E304" s="18" t="s">
        <v>2335</v>
      </c>
      <c r="F304" s="18" t="s">
        <v>1901</v>
      </c>
      <c r="G304" s="18" t="s">
        <v>237</v>
      </c>
      <c r="H304" s="18" t="s">
        <v>583</v>
      </c>
      <c r="I304" s="18" t="s">
        <v>2336</v>
      </c>
      <c r="J304" s="18" t="s">
        <v>2337</v>
      </c>
      <c r="K304" s="18" t="s">
        <v>2338</v>
      </c>
      <c r="L304" s="19">
        <v>42700</v>
      </c>
    </row>
    <row r="305" spans="1:12" ht="18" customHeight="1">
      <c r="A305" s="16" t="s">
        <v>2339</v>
      </c>
      <c r="B305" s="17" t="s">
        <v>2340</v>
      </c>
      <c r="C305" s="18" t="s">
        <v>2341</v>
      </c>
      <c r="D305" s="18" t="s">
        <v>2342</v>
      </c>
      <c r="E305" s="18" t="s">
        <v>2343</v>
      </c>
      <c r="F305" s="18" t="s">
        <v>1901</v>
      </c>
      <c r="G305" s="18" t="s">
        <v>237</v>
      </c>
      <c r="H305" s="18" t="s">
        <v>253</v>
      </c>
      <c r="I305" s="18" t="s">
        <v>2344</v>
      </c>
      <c r="J305" s="18" t="s">
        <v>2345</v>
      </c>
      <c r="K305" s="18" t="s">
        <v>1975</v>
      </c>
      <c r="L305" s="19">
        <v>15500</v>
      </c>
    </row>
    <row r="306" spans="1:12" ht="18" customHeight="1">
      <c r="A306" s="16" t="s">
        <v>2346</v>
      </c>
      <c r="B306" s="17" t="s">
        <v>2347</v>
      </c>
      <c r="C306" s="18" t="s">
        <v>2348</v>
      </c>
      <c r="D306" s="18" t="s">
        <v>2349</v>
      </c>
      <c r="E306" s="18" t="s">
        <v>2350</v>
      </c>
      <c r="F306" s="18" t="s">
        <v>1901</v>
      </c>
      <c r="G306" s="18" t="s">
        <v>237</v>
      </c>
      <c r="H306" s="18" t="s">
        <v>1186</v>
      </c>
      <c r="I306" s="18" t="s">
        <v>2351</v>
      </c>
      <c r="J306" s="18" t="s">
        <v>2352</v>
      </c>
      <c r="K306" s="18" t="s">
        <v>1189</v>
      </c>
      <c r="L306" s="19">
        <v>58120</v>
      </c>
    </row>
    <row r="307" spans="1:12" ht="18" customHeight="1">
      <c r="A307" s="16" t="s">
        <v>2353</v>
      </c>
      <c r="B307" s="17" t="s">
        <v>2354</v>
      </c>
      <c r="C307" s="18" t="s">
        <v>2355</v>
      </c>
      <c r="D307" s="18" t="s">
        <v>2356</v>
      </c>
      <c r="E307" s="18" t="s">
        <v>2357</v>
      </c>
      <c r="F307" s="18" t="s">
        <v>1901</v>
      </c>
      <c r="G307" s="18" t="s">
        <v>237</v>
      </c>
      <c r="H307" s="18" t="s">
        <v>253</v>
      </c>
      <c r="I307" s="18" t="s">
        <v>2358</v>
      </c>
      <c r="J307" s="18" t="s">
        <v>2359</v>
      </c>
      <c r="K307" s="18" t="s">
        <v>1975</v>
      </c>
      <c r="L307" s="19">
        <v>15270</v>
      </c>
    </row>
    <row r="308" spans="1:12" ht="18" customHeight="1">
      <c r="A308" s="16" t="s">
        <v>2360</v>
      </c>
      <c r="B308" s="17" t="s">
        <v>2361</v>
      </c>
      <c r="C308" s="18" t="s">
        <v>2362</v>
      </c>
      <c r="D308" s="18" t="s">
        <v>2363</v>
      </c>
      <c r="E308" s="18" t="s">
        <v>2364</v>
      </c>
      <c r="F308" s="18" t="s">
        <v>1901</v>
      </c>
      <c r="G308" s="18" t="s">
        <v>237</v>
      </c>
      <c r="H308" s="18" t="s">
        <v>253</v>
      </c>
      <c r="I308" s="18" t="s">
        <v>2365</v>
      </c>
      <c r="J308" s="18" t="s">
        <v>2366</v>
      </c>
      <c r="K308" s="18" t="s">
        <v>330</v>
      </c>
      <c r="L308" s="19" t="s">
        <v>1297</v>
      </c>
    </row>
    <row r="309" spans="1:12" ht="18" customHeight="1">
      <c r="A309" s="16" t="s">
        <v>2367</v>
      </c>
      <c r="B309" s="17" t="s">
        <v>2368</v>
      </c>
      <c r="C309" s="18" t="s">
        <v>2369</v>
      </c>
      <c r="D309" s="18" t="s">
        <v>2370</v>
      </c>
      <c r="E309" s="18" t="s">
        <v>2371</v>
      </c>
      <c r="F309" s="18" t="s">
        <v>1901</v>
      </c>
      <c r="G309" s="18" t="s">
        <v>237</v>
      </c>
      <c r="H309" s="18" t="s">
        <v>294</v>
      </c>
      <c r="I309" s="18" t="s">
        <v>2372</v>
      </c>
      <c r="J309" s="18" t="s">
        <v>2373</v>
      </c>
      <c r="K309" s="18" t="s">
        <v>1162</v>
      </c>
      <c r="L309" s="19">
        <v>52100</v>
      </c>
    </row>
    <row r="310" spans="1:12" ht="18" customHeight="1">
      <c r="A310" s="16" t="s">
        <v>2374</v>
      </c>
      <c r="B310" s="17" t="s">
        <v>2375</v>
      </c>
      <c r="C310" s="18" t="s">
        <v>2376</v>
      </c>
      <c r="D310" s="18" t="s">
        <v>2377</v>
      </c>
      <c r="E310" s="18" t="s">
        <v>2378</v>
      </c>
      <c r="F310" s="18" t="s">
        <v>1901</v>
      </c>
      <c r="G310" s="18" t="s">
        <v>237</v>
      </c>
      <c r="H310" s="18" t="s">
        <v>253</v>
      </c>
      <c r="I310" s="18" t="s">
        <v>2379</v>
      </c>
      <c r="J310" s="18" t="s">
        <v>2380</v>
      </c>
      <c r="K310" s="18" t="s">
        <v>1060</v>
      </c>
      <c r="L310" s="19">
        <v>11830</v>
      </c>
    </row>
    <row r="311" spans="1:12" ht="18" customHeight="1">
      <c r="A311" s="16" t="s">
        <v>2381</v>
      </c>
      <c r="B311" s="17" t="s">
        <v>2382</v>
      </c>
      <c r="C311" s="18" t="s">
        <v>2383</v>
      </c>
      <c r="D311" s="18" t="s">
        <v>2384</v>
      </c>
      <c r="E311" s="18" t="s">
        <v>2385</v>
      </c>
      <c r="F311" s="18" t="s">
        <v>1901</v>
      </c>
      <c r="G311" s="18" t="s">
        <v>237</v>
      </c>
      <c r="H311" s="18" t="s">
        <v>61</v>
      </c>
      <c r="I311" s="18" t="s">
        <v>2386</v>
      </c>
      <c r="J311" s="18" t="s">
        <v>2387</v>
      </c>
      <c r="K311" s="18" t="s">
        <v>61</v>
      </c>
      <c r="L311" s="19">
        <v>20196</v>
      </c>
    </row>
    <row r="312" spans="1:12" ht="18" customHeight="1">
      <c r="A312" s="16" t="s">
        <v>2388</v>
      </c>
      <c r="B312" s="17" t="s">
        <v>2389</v>
      </c>
      <c r="C312" s="18" t="s">
        <v>2390</v>
      </c>
      <c r="D312" s="18" t="s">
        <v>2391</v>
      </c>
      <c r="E312" s="18" t="s">
        <v>2392</v>
      </c>
      <c r="F312" s="18" t="s">
        <v>1901</v>
      </c>
      <c r="G312" s="18" t="s">
        <v>237</v>
      </c>
      <c r="H312" s="18" t="s">
        <v>253</v>
      </c>
      <c r="I312" s="18" t="s">
        <v>2393</v>
      </c>
      <c r="J312" s="18" t="s">
        <v>2394</v>
      </c>
      <c r="K312" s="18" t="s">
        <v>1277</v>
      </c>
      <c r="L312" s="19" t="s">
        <v>1278</v>
      </c>
    </row>
    <row r="313" spans="1:12" ht="18" customHeight="1">
      <c r="A313" s="16" t="s">
        <v>2395</v>
      </c>
      <c r="B313" s="17" t="s">
        <v>2396</v>
      </c>
      <c r="C313" s="18" t="s">
        <v>2397</v>
      </c>
      <c r="D313" s="18" t="s">
        <v>2398</v>
      </c>
      <c r="E313" s="18" t="s">
        <v>2399</v>
      </c>
      <c r="F313" s="18" t="s">
        <v>1901</v>
      </c>
      <c r="G313" s="18" t="s">
        <v>237</v>
      </c>
      <c r="H313" s="18" t="s">
        <v>294</v>
      </c>
      <c r="I313" s="18" t="s">
        <v>2400</v>
      </c>
      <c r="J313" s="18" t="s">
        <v>2401</v>
      </c>
      <c r="K313" s="18" t="s">
        <v>2402</v>
      </c>
      <c r="L313" s="19">
        <v>57000</v>
      </c>
    </row>
    <row r="314" spans="1:12" ht="18" customHeight="1">
      <c r="A314" s="16" t="s">
        <v>2403</v>
      </c>
      <c r="B314" s="17" t="s">
        <v>2404</v>
      </c>
      <c r="C314" s="18" t="s">
        <v>2405</v>
      </c>
      <c r="D314" s="18" t="s">
        <v>2406</v>
      </c>
      <c r="E314" s="18" t="s">
        <v>2407</v>
      </c>
      <c r="F314" s="18" t="s">
        <v>1901</v>
      </c>
      <c r="G314" s="18" t="s">
        <v>237</v>
      </c>
      <c r="H314" s="18" t="s">
        <v>253</v>
      </c>
      <c r="I314" s="18" t="s">
        <v>2408</v>
      </c>
      <c r="J314" s="18" t="s">
        <v>2409</v>
      </c>
      <c r="K314" s="18" t="s">
        <v>281</v>
      </c>
      <c r="L314" s="19" t="s">
        <v>2410</v>
      </c>
    </row>
    <row r="315" spans="1:12" ht="18" customHeight="1">
      <c r="A315" s="16" t="s">
        <v>2411</v>
      </c>
      <c r="B315" s="17" t="s">
        <v>2412</v>
      </c>
      <c r="C315" s="18" t="s">
        <v>2413</v>
      </c>
      <c r="D315" s="18" t="s">
        <v>2414</v>
      </c>
      <c r="E315" s="18" t="s">
        <v>2415</v>
      </c>
      <c r="F315" s="18" t="s">
        <v>1901</v>
      </c>
      <c r="G315" s="18" t="s">
        <v>237</v>
      </c>
      <c r="H315" s="18" t="s">
        <v>253</v>
      </c>
      <c r="I315" s="18" t="s">
        <v>2416</v>
      </c>
      <c r="J315" s="18" t="s">
        <v>2417</v>
      </c>
      <c r="K315" s="18" t="s">
        <v>281</v>
      </c>
      <c r="L315" s="19" t="s">
        <v>2418</v>
      </c>
    </row>
    <row r="316" spans="1:12" ht="18" customHeight="1">
      <c r="A316" s="16" t="s">
        <v>2419</v>
      </c>
      <c r="B316" s="17" t="s">
        <v>2420</v>
      </c>
      <c r="C316" s="18" t="s">
        <v>2421</v>
      </c>
      <c r="D316" s="18" t="s">
        <v>2422</v>
      </c>
      <c r="E316" s="18" t="s">
        <v>2423</v>
      </c>
      <c r="F316" s="18" t="s">
        <v>1901</v>
      </c>
      <c r="G316" s="18" t="s">
        <v>237</v>
      </c>
      <c r="H316" s="18" t="s">
        <v>175</v>
      </c>
      <c r="I316" s="18" t="s">
        <v>2424</v>
      </c>
      <c r="J316" s="18" t="s">
        <v>2425</v>
      </c>
      <c r="K316" s="18" t="s">
        <v>175</v>
      </c>
      <c r="L316" s="19">
        <v>76000</v>
      </c>
    </row>
    <row r="317" spans="1:12" ht="18" customHeight="1">
      <c r="A317" s="16" t="s">
        <v>2426</v>
      </c>
      <c r="B317" s="17" t="s">
        <v>2427</v>
      </c>
      <c r="C317" s="18" t="s">
        <v>2428</v>
      </c>
      <c r="D317" s="18" t="s">
        <v>2429</v>
      </c>
      <c r="E317" s="18" t="s">
        <v>2430</v>
      </c>
      <c r="F317" s="18" t="s">
        <v>1901</v>
      </c>
      <c r="G317" s="18" t="s">
        <v>237</v>
      </c>
      <c r="H317" s="18" t="s">
        <v>253</v>
      </c>
      <c r="I317" s="18" t="s">
        <v>2431</v>
      </c>
      <c r="J317" s="18" t="s">
        <v>2432</v>
      </c>
      <c r="K317" s="18" t="s">
        <v>330</v>
      </c>
      <c r="L317" s="19" t="s">
        <v>2433</v>
      </c>
    </row>
    <row r="318" spans="1:12" ht="18" customHeight="1">
      <c r="A318" s="16" t="s">
        <v>2434</v>
      </c>
      <c r="B318" s="17" t="s">
        <v>2435</v>
      </c>
      <c r="C318" s="18" t="s">
        <v>2436</v>
      </c>
      <c r="D318" s="18" t="s">
        <v>2437</v>
      </c>
      <c r="E318" s="18" t="s">
        <v>2438</v>
      </c>
      <c r="F318" s="18" t="s">
        <v>1901</v>
      </c>
      <c r="G318" s="18" t="s">
        <v>237</v>
      </c>
      <c r="H318" s="18" t="s">
        <v>128</v>
      </c>
      <c r="I318" s="18" t="s">
        <v>2439</v>
      </c>
      <c r="J318" s="18" t="s">
        <v>2440</v>
      </c>
      <c r="K318" s="18" t="s">
        <v>2441</v>
      </c>
      <c r="L318" s="19">
        <v>36900</v>
      </c>
    </row>
    <row r="319" spans="1:12" ht="18" customHeight="1">
      <c r="A319" s="16" t="s">
        <v>2442</v>
      </c>
      <c r="B319" s="17" t="s">
        <v>2443</v>
      </c>
      <c r="C319" s="18" t="s">
        <v>2444</v>
      </c>
      <c r="D319" s="18" t="s">
        <v>2445</v>
      </c>
      <c r="E319" s="18" t="s">
        <v>2446</v>
      </c>
      <c r="F319" s="18" t="s">
        <v>1901</v>
      </c>
      <c r="G319" s="18" t="s">
        <v>237</v>
      </c>
      <c r="H319" s="18" t="s">
        <v>1153</v>
      </c>
      <c r="I319" s="18" t="s">
        <v>2447</v>
      </c>
      <c r="J319" s="18" t="s">
        <v>2448</v>
      </c>
      <c r="K319" s="18" t="s">
        <v>2449</v>
      </c>
      <c r="L319" s="19">
        <v>70660</v>
      </c>
    </row>
    <row r="320" spans="1:12" ht="18" customHeight="1">
      <c r="A320" s="16" t="s">
        <v>2450</v>
      </c>
      <c r="B320" s="17" t="s">
        <v>2451</v>
      </c>
      <c r="C320" s="18" t="s">
        <v>2452</v>
      </c>
      <c r="D320" s="18" t="s">
        <v>2453</v>
      </c>
      <c r="E320" s="18" t="s">
        <v>2454</v>
      </c>
      <c r="F320" s="18" t="s">
        <v>1901</v>
      </c>
      <c r="G320" s="18" t="s">
        <v>237</v>
      </c>
      <c r="H320" s="18" t="s">
        <v>106</v>
      </c>
      <c r="I320" s="18" t="s">
        <v>2455</v>
      </c>
      <c r="J320" s="18" t="s">
        <v>2456</v>
      </c>
      <c r="K320" s="18" t="s">
        <v>109</v>
      </c>
      <c r="L320" s="19">
        <v>25000</v>
      </c>
    </row>
    <row r="321" spans="1:12" ht="18" customHeight="1">
      <c r="A321" s="16" t="s">
        <v>2457</v>
      </c>
      <c r="B321" s="17" t="s">
        <v>2458</v>
      </c>
      <c r="C321" s="18" t="s">
        <v>2459</v>
      </c>
      <c r="D321" s="18" t="s">
        <v>2460</v>
      </c>
      <c r="E321" s="18" t="s">
        <v>2461</v>
      </c>
      <c r="F321" s="18" t="s">
        <v>1901</v>
      </c>
      <c r="G321" s="18" t="s">
        <v>237</v>
      </c>
      <c r="H321" s="18" t="s">
        <v>616</v>
      </c>
      <c r="I321" s="18" t="s">
        <v>2462</v>
      </c>
      <c r="J321" s="18" t="s">
        <v>2463</v>
      </c>
      <c r="K321" s="18" t="s">
        <v>2464</v>
      </c>
      <c r="L321" s="19">
        <v>95730</v>
      </c>
    </row>
    <row r="322" spans="1:12" ht="18" customHeight="1">
      <c r="A322" s="16" t="s">
        <v>2465</v>
      </c>
      <c r="B322" s="17" t="s">
        <v>2466</v>
      </c>
      <c r="C322" s="18" t="s">
        <v>2467</v>
      </c>
      <c r="D322" s="18" t="s">
        <v>2468</v>
      </c>
      <c r="E322" s="18" t="s">
        <v>2469</v>
      </c>
      <c r="F322" s="18" t="s">
        <v>1901</v>
      </c>
      <c r="G322" s="18" t="s">
        <v>237</v>
      </c>
      <c r="H322" s="18" t="s">
        <v>253</v>
      </c>
      <c r="I322" s="18" t="s">
        <v>2470</v>
      </c>
      <c r="J322" s="18" t="s">
        <v>2471</v>
      </c>
      <c r="K322" s="18" t="s">
        <v>281</v>
      </c>
      <c r="L322" s="19" t="s">
        <v>2472</v>
      </c>
    </row>
    <row r="323" spans="1:12" ht="18" customHeight="1">
      <c r="A323" s="16" t="s">
        <v>2473</v>
      </c>
      <c r="B323" s="17" t="s">
        <v>2474</v>
      </c>
      <c r="C323" s="18" t="s">
        <v>2475</v>
      </c>
      <c r="D323" s="18" t="s">
        <v>2476</v>
      </c>
      <c r="E323" s="18" t="s">
        <v>2477</v>
      </c>
      <c r="F323" s="18" t="s">
        <v>1901</v>
      </c>
      <c r="G323" s="18" t="s">
        <v>237</v>
      </c>
      <c r="H323" s="18" t="s">
        <v>168</v>
      </c>
      <c r="I323" s="18" t="s">
        <v>2478</v>
      </c>
      <c r="J323" s="18" t="s">
        <v>2479</v>
      </c>
      <c r="K323" s="18" t="s">
        <v>2480</v>
      </c>
      <c r="L323" s="19">
        <v>74000</v>
      </c>
    </row>
    <row r="324" spans="1:12" ht="18" customHeight="1">
      <c r="A324" s="16" t="s">
        <v>2481</v>
      </c>
      <c r="B324" s="17" t="s">
        <v>2482</v>
      </c>
      <c r="C324" s="18" t="s">
        <v>2483</v>
      </c>
      <c r="D324" s="18" t="s">
        <v>2484</v>
      </c>
      <c r="E324" s="18" t="s">
        <v>2485</v>
      </c>
      <c r="F324" s="18" t="s">
        <v>1901</v>
      </c>
      <c r="G324" s="18" t="s">
        <v>237</v>
      </c>
      <c r="H324" s="18" t="s">
        <v>253</v>
      </c>
      <c r="I324" s="18" t="s">
        <v>2486</v>
      </c>
      <c r="J324" s="18" t="s">
        <v>2487</v>
      </c>
      <c r="K324" s="18" t="s">
        <v>281</v>
      </c>
      <c r="L324" s="19" t="s">
        <v>2488</v>
      </c>
    </row>
    <row r="325" spans="1:12" ht="18" customHeight="1">
      <c r="A325" s="16" t="s">
        <v>2489</v>
      </c>
      <c r="B325" s="17" t="s">
        <v>2490</v>
      </c>
      <c r="C325" s="18" t="s">
        <v>2491</v>
      </c>
      <c r="D325" s="18" t="s">
        <v>2492</v>
      </c>
      <c r="E325" s="18" t="s">
        <v>2493</v>
      </c>
      <c r="F325" s="18" t="s">
        <v>1901</v>
      </c>
      <c r="G325" s="18" t="s">
        <v>237</v>
      </c>
      <c r="H325" s="18" t="s">
        <v>294</v>
      </c>
      <c r="I325" s="18" t="s">
        <v>2494</v>
      </c>
      <c r="J325" s="18" t="s">
        <v>2495</v>
      </c>
      <c r="K325" s="18" t="s">
        <v>2496</v>
      </c>
      <c r="L325" s="19">
        <v>53230</v>
      </c>
    </row>
    <row r="326" spans="1:12" ht="18" customHeight="1">
      <c r="A326" s="16" t="s">
        <v>2497</v>
      </c>
      <c r="B326" s="17" t="s">
        <v>2498</v>
      </c>
      <c r="C326" s="18" t="s">
        <v>2499</v>
      </c>
      <c r="D326" s="18" t="s">
        <v>2500</v>
      </c>
      <c r="E326" s="18" t="s">
        <v>2501</v>
      </c>
      <c r="F326" s="18" t="s">
        <v>1901</v>
      </c>
      <c r="G326" s="18" t="s">
        <v>237</v>
      </c>
      <c r="H326" s="18" t="s">
        <v>294</v>
      </c>
      <c r="I326" s="18" t="s">
        <v>2502</v>
      </c>
      <c r="J326" s="18" t="s">
        <v>2503</v>
      </c>
      <c r="K326" s="18" t="s">
        <v>297</v>
      </c>
      <c r="L326" s="19">
        <v>56160</v>
      </c>
    </row>
    <row r="327" spans="1:12" ht="18" customHeight="1">
      <c r="A327" s="16" t="s">
        <v>2504</v>
      </c>
      <c r="B327" s="17" t="s">
        <v>2505</v>
      </c>
      <c r="C327" s="18" t="s">
        <v>2506</v>
      </c>
      <c r="D327" s="18" t="s">
        <v>2507</v>
      </c>
      <c r="E327" s="18" t="s">
        <v>2508</v>
      </c>
      <c r="F327" s="18" t="s">
        <v>1901</v>
      </c>
      <c r="G327" s="18" t="s">
        <v>237</v>
      </c>
      <c r="H327" s="18" t="s">
        <v>294</v>
      </c>
      <c r="I327" s="18" t="s">
        <v>2509</v>
      </c>
      <c r="J327" s="18" t="s">
        <v>2510</v>
      </c>
      <c r="K327" s="18" t="s">
        <v>2511</v>
      </c>
      <c r="L327" s="19">
        <v>54150</v>
      </c>
    </row>
    <row r="328" spans="1:12" ht="18" customHeight="1">
      <c r="A328" s="16" t="s">
        <v>2512</v>
      </c>
      <c r="B328" s="17" t="s">
        <v>2513</v>
      </c>
      <c r="C328" s="18" t="s">
        <v>2514</v>
      </c>
      <c r="D328" s="18" t="s">
        <v>2515</v>
      </c>
      <c r="E328" s="18" t="s">
        <v>2516</v>
      </c>
      <c r="F328" s="18" t="s">
        <v>1901</v>
      </c>
      <c r="G328" s="18" t="s">
        <v>237</v>
      </c>
      <c r="H328" s="18" t="s">
        <v>253</v>
      </c>
      <c r="I328" s="18" t="s">
        <v>2517</v>
      </c>
      <c r="J328" s="18" t="s">
        <v>2518</v>
      </c>
      <c r="K328" s="18" t="s">
        <v>1028</v>
      </c>
      <c r="L328" s="19">
        <v>14000</v>
      </c>
    </row>
    <row r="329" spans="1:12" ht="18" customHeight="1">
      <c r="A329" s="16" t="s">
        <v>2519</v>
      </c>
      <c r="B329" s="17" t="s">
        <v>2520</v>
      </c>
      <c r="C329" s="18" t="s">
        <v>2521</v>
      </c>
      <c r="D329" s="18" t="s">
        <v>2522</v>
      </c>
      <c r="E329" s="18" t="s">
        <v>2523</v>
      </c>
      <c r="F329" s="18" t="s">
        <v>1901</v>
      </c>
      <c r="G329" s="18" t="s">
        <v>237</v>
      </c>
      <c r="H329" s="18" t="s">
        <v>221</v>
      </c>
      <c r="I329" s="18" t="s">
        <v>2524</v>
      </c>
      <c r="J329" s="18" t="s">
        <v>2525</v>
      </c>
      <c r="K329" s="18" t="s">
        <v>2526</v>
      </c>
      <c r="L329" s="19">
        <v>90100</v>
      </c>
    </row>
    <row r="330" spans="1:12" ht="18" customHeight="1">
      <c r="A330" s="16" t="s">
        <v>2527</v>
      </c>
      <c r="B330" s="17" t="s">
        <v>2528</v>
      </c>
      <c r="C330" s="18" t="s">
        <v>2529</v>
      </c>
      <c r="D330" s="18" t="s">
        <v>2530</v>
      </c>
      <c r="E330" s="18" t="s">
        <v>2531</v>
      </c>
      <c r="F330" s="18" t="s">
        <v>1901</v>
      </c>
      <c r="G330" s="18" t="s">
        <v>237</v>
      </c>
      <c r="H330" s="18" t="s">
        <v>583</v>
      </c>
      <c r="I330" s="18" t="s">
        <v>2532</v>
      </c>
      <c r="J330" s="18" t="s">
        <v>2533</v>
      </c>
      <c r="K330" s="18" t="s">
        <v>2534</v>
      </c>
      <c r="L330" s="19">
        <v>43660</v>
      </c>
    </row>
    <row r="331" spans="1:12" ht="18" customHeight="1">
      <c r="A331" s="16" t="s">
        <v>2535</v>
      </c>
      <c r="B331" s="17" t="s">
        <v>2536</v>
      </c>
      <c r="C331" s="18" t="s">
        <v>2537</v>
      </c>
      <c r="D331" s="18" t="s">
        <v>2538</v>
      </c>
      <c r="E331" s="18" t="s">
        <v>2539</v>
      </c>
      <c r="F331" s="18" t="s">
        <v>1901</v>
      </c>
      <c r="G331" s="18" t="s">
        <v>237</v>
      </c>
      <c r="H331" s="18" t="s">
        <v>91</v>
      </c>
      <c r="I331" s="18" t="s">
        <v>2540</v>
      </c>
      <c r="J331" s="18" t="s">
        <v>2541</v>
      </c>
      <c r="K331" s="18" t="s">
        <v>94</v>
      </c>
      <c r="L331" s="19">
        <v>29017</v>
      </c>
    </row>
    <row r="332" spans="1:12" ht="18" customHeight="1">
      <c r="A332" s="16" t="s">
        <v>2542</v>
      </c>
      <c r="B332" s="17" t="s">
        <v>2543</v>
      </c>
      <c r="C332" s="18" t="s">
        <v>2544</v>
      </c>
      <c r="D332" s="18" t="s">
        <v>2545</v>
      </c>
      <c r="E332" s="18" t="s">
        <v>2546</v>
      </c>
      <c r="F332" s="18" t="s">
        <v>2547</v>
      </c>
      <c r="G332" s="18" t="s">
        <v>237</v>
      </c>
      <c r="H332" s="18" t="s">
        <v>632</v>
      </c>
      <c r="I332" s="18" t="s">
        <v>2548</v>
      </c>
      <c r="J332" s="18" t="s">
        <v>2549</v>
      </c>
      <c r="K332" s="18" t="s">
        <v>2550</v>
      </c>
      <c r="L332" s="19">
        <v>48000</v>
      </c>
    </row>
    <row r="333" spans="1:12" ht="18" customHeight="1">
      <c r="A333" s="16" t="s">
        <v>2551</v>
      </c>
      <c r="B333" s="17" t="s">
        <v>2552</v>
      </c>
      <c r="C333" s="18" t="s">
        <v>2553</v>
      </c>
      <c r="D333" s="18" t="s">
        <v>2554</v>
      </c>
      <c r="E333" s="18" t="s">
        <v>2555</v>
      </c>
      <c r="F333" s="18" t="s">
        <v>1901</v>
      </c>
      <c r="G333" s="18" t="s">
        <v>237</v>
      </c>
      <c r="H333" s="18" t="s">
        <v>294</v>
      </c>
      <c r="I333" s="18" t="s">
        <v>2556</v>
      </c>
      <c r="J333" s="18" t="s">
        <v>2557</v>
      </c>
      <c r="K333" s="18" t="s">
        <v>2558</v>
      </c>
      <c r="L333" s="19">
        <v>57100</v>
      </c>
    </row>
    <row r="334" spans="1:12" ht="18" customHeight="1">
      <c r="A334" s="16" t="s">
        <v>2559</v>
      </c>
      <c r="B334" s="17" t="s">
        <v>2560</v>
      </c>
      <c r="C334" s="18" t="s">
        <v>2561</v>
      </c>
      <c r="D334" s="18" t="s">
        <v>2562</v>
      </c>
      <c r="E334" s="18" t="s">
        <v>2563</v>
      </c>
      <c r="F334" s="18" t="s">
        <v>1901</v>
      </c>
      <c r="G334" s="18" t="s">
        <v>237</v>
      </c>
      <c r="H334" s="18" t="s">
        <v>253</v>
      </c>
      <c r="I334" s="18" t="s">
        <v>2564</v>
      </c>
      <c r="J334" s="18" t="s">
        <v>2565</v>
      </c>
      <c r="K334" s="18" t="s">
        <v>1226</v>
      </c>
      <c r="L334" s="19" t="s">
        <v>2566</v>
      </c>
    </row>
    <row r="335" spans="1:12" ht="18" customHeight="1">
      <c r="A335" s="16" t="s">
        <v>2567</v>
      </c>
      <c r="B335" s="17" t="s">
        <v>2568</v>
      </c>
      <c r="C335" s="18" t="s">
        <v>2569</v>
      </c>
      <c r="D335" s="18" t="s">
        <v>2570</v>
      </c>
      <c r="E335" s="18" t="s">
        <v>2571</v>
      </c>
      <c r="F335" s="18" t="s">
        <v>1901</v>
      </c>
      <c r="G335" s="18" t="s">
        <v>237</v>
      </c>
      <c r="H335" s="18" t="s">
        <v>253</v>
      </c>
      <c r="I335" s="18" t="s">
        <v>2572</v>
      </c>
      <c r="J335" s="18" t="s">
        <v>2573</v>
      </c>
      <c r="K335" s="18" t="s">
        <v>2574</v>
      </c>
      <c r="L335" s="19">
        <v>16090</v>
      </c>
    </row>
    <row r="336" spans="1:12" ht="18" customHeight="1">
      <c r="A336" s="16" t="s">
        <v>2575</v>
      </c>
      <c r="B336" s="17" t="s">
        <v>2576</v>
      </c>
      <c r="C336" s="18" t="s">
        <v>2577</v>
      </c>
      <c r="D336" s="18" t="s">
        <v>2578</v>
      </c>
      <c r="E336" s="18" t="s">
        <v>2579</v>
      </c>
      <c r="F336" s="18" t="s">
        <v>1901</v>
      </c>
      <c r="G336" s="18" t="s">
        <v>237</v>
      </c>
      <c r="H336" s="18" t="s">
        <v>228</v>
      </c>
      <c r="I336" s="18" t="s">
        <v>2580</v>
      </c>
      <c r="J336" s="18" t="s">
        <v>2581</v>
      </c>
      <c r="K336" s="18" t="s">
        <v>228</v>
      </c>
      <c r="L336" s="19">
        <v>98000</v>
      </c>
    </row>
    <row r="337" spans="1:12" ht="18" customHeight="1">
      <c r="A337" s="16" t="s">
        <v>2582</v>
      </c>
      <c r="B337" s="17" t="s">
        <v>2583</v>
      </c>
      <c r="C337" s="18" t="s">
        <v>2584</v>
      </c>
      <c r="D337" s="18" t="s">
        <v>2585</v>
      </c>
      <c r="E337" s="18" t="s">
        <v>2586</v>
      </c>
      <c r="F337" s="18" t="s">
        <v>2587</v>
      </c>
      <c r="G337" s="18" t="s">
        <v>237</v>
      </c>
      <c r="H337" s="18" t="s">
        <v>136</v>
      </c>
      <c r="I337" s="18" t="s">
        <v>2588</v>
      </c>
      <c r="J337" s="18" t="s">
        <v>2589</v>
      </c>
      <c r="K337" s="18" t="s">
        <v>2590</v>
      </c>
      <c r="L337" s="19">
        <v>40600</v>
      </c>
    </row>
    <row r="338" spans="1:12" ht="18" customHeight="1">
      <c r="A338" s="16" t="s">
        <v>2591</v>
      </c>
      <c r="B338" s="17" t="s">
        <v>2592</v>
      </c>
      <c r="C338" s="18" t="s">
        <v>2593</v>
      </c>
      <c r="D338" s="18" t="s">
        <v>2594</v>
      </c>
      <c r="E338" s="18" t="s">
        <v>2595</v>
      </c>
      <c r="F338" s="18" t="s">
        <v>2587</v>
      </c>
      <c r="G338" s="18" t="s">
        <v>237</v>
      </c>
      <c r="H338" s="18" t="s">
        <v>182</v>
      </c>
      <c r="I338" s="18" t="s">
        <v>2596</v>
      </c>
      <c r="J338" s="18" t="s">
        <v>2597</v>
      </c>
      <c r="K338" s="18" t="s">
        <v>2598</v>
      </c>
      <c r="L338" s="19">
        <v>77677</v>
      </c>
    </row>
    <row r="339" spans="1:12" ht="18" customHeight="1">
      <c r="A339" s="16" t="s">
        <v>2599</v>
      </c>
      <c r="B339" s="17" t="s">
        <v>2600</v>
      </c>
      <c r="C339" s="18" t="s">
        <v>2601</v>
      </c>
      <c r="D339" s="18" t="s">
        <v>2602</v>
      </c>
      <c r="E339" s="18" t="s">
        <v>2603</v>
      </c>
      <c r="F339" s="18" t="s">
        <v>2587</v>
      </c>
      <c r="G339" s="18" t="s">
        <v>237</v>
      </c>
      <c r="H339" s="18" t="s">
        <v>351</v>
      </c>
      <c r="I339" s="18" t="s">
        <v>2604</v>
      </c>
      <c r="J339" s="18" t="s">
        <v>2605</v>
      </c>
      <c r="K339" s="18" t="s">
        <v>1047</v>
      </c>
      <c r="L339" s="19">
        <v>62000</v>
      </c>
    </row>
    <row r="340" spans="1:12" ht="18" customHeight="1">
      <c r="A340" s="16" t="s">
        <v>2606</v>
      </c>
      <c r="B340" s="17" t="s">
        <v>2607</v>
      </c>
      <c r="C340" s="18" t="s">
        <v>2608</v>
      </c>
      <c r="D340" s="18" t="s">
        <v>2609</v>
      </c>
      <c r="E340" s="18" t="s">
        <v>2610</v>
      </c>
      <c r="F340" s="18" t="s">
        <v>2587</v>
      </c>
      <c r="G340" s="18" t="s">
        <v>237</v>
      </c>
      <c r="H340" s="18" t="s">
        <v>190</v>
      </c>
      <c r="I340" s="18" t="s">
        <v>2611</v>
      </c>
      <c r="J340" s="18" t="s">
        <v>2612</v>
      </c>
      <c r="K340" s="18" t="s">
        <v>190</v>
      </c>
      <c r="L340" s="19">
        <v>78399</v>
      </c>
    </row>
    <row r="341" spans="1:12" ht="18" customHeight="1">
      <c r="A341" s="16" t="s">
        <v>2613</v>
      </c>
      <c r="B341" s="17" t="s">
        <v>2614</v>
      </c>
      <c r="C341" s="18" t="s">
        <v>2615</v>
      </c>
      <c r="D341" s="18" t="s">
        <v>2616</v>
      </c>
      <c r="E341" s="18" t="s">
        <v>2617</v>
      </c>
      <c r="F341" s="18" t="s">
        <v>2587</v>
      </c>
      <c r="G341" s="18" t="s">
        <v>237</v>
      </c>
      <c r="H341" s="18" t="s">
        <v>351</v>
      </c>
      <c r="I341" s="18" t="s">
        <v>2618</v>
      </c>
      <c r="J341" s="18" t="s">
        <v>2619</v>
      </c>
      <c r="K341" s="18" t="s">
        <v>2620</v>
      </c>
      <c r="L341" s="19">
        <v>62900</v>
      </c>
    </row>
    <row r="342" spans="1:12" ht="18" customHeight="1">
      <c r="A342" s="16" t="s">
        <v>2621</v>
      </c>
      <c r="B342" s="17" t="s">
        <v>2622</v>
      </c>
      <c r="C342" s="18" t="s">
        <v>423</v>
      </c>
      <c r="D342" s="18" t="s">
        <v>2623</v>
      </c>
      <c r="E342" s="18" t="s">
        <v>2624</v>
      </c>
      <c r="F342" s="18" t="s">
        <v>2587</v>
      </c>
      <c r="G342" s="18" t="s">
        <v>237</v>
      </c>
      <c r="H342" s="18" t="s">
        <v>128</v>
      </c>
      <c r="I342" s="18" t="s">
        <v>2625</v>
      </c>
      <c r="J342" s="18" t="s">
        <v>2626</v>
      </c>
      <c r="K342" s="18" t="s">
        <v>2627</v>
      </c>
      <c r="L342" s="19">
        <v>37520</v>
      </c>
    </row>
    <row r="343" spans="1:12" ht="18" customHeight="1">
      <c r="A343" s="16" t="s">
        <v>2628</v>
      </c>
      <c r="B343" s="17" t="s">
        <v>2629</v>
      </c>
      <c r="C343" s="18" t="s">
        <v>2630</v>
      </c>
      <c r="D343" s="18" t="s">
        <v>2631</v>
      </c>
      <c r="E343" s="18" t="s">
        <v>2632</v>
      </c>
      <c r="F343" s="18" t="s">
        <v>2587</v>
      </c>
      <c r="G343" s="18" t="s">
        <v>237</v>
      </c>
      <c r="H343" s="18" t="s">
        <v>160</v>
      </c>
      <c r="I343" s="18" t="s">
        <v>2633</v>
      </c>
      <c r="J343" s="18" t="s">
        <v>2634</v>
      </c>
      <c r="K343" s="18" t="s">
        <v>930</v>
      </c>
      <c r="L343" s="19">
        <v>64010</v>
      </c>
    </row>
    <row r="344" spans="1:12" ht="18" customHeight="1">
      <c r="A344" s="16" t="s">
        <v>2635</v>
      </c>
      <c r="B344" s="17" t="s">
        <v>2636</v>
      </c>
      <c r="C344" s="18" t="s">
        <v>2637</v>
      </c>
      <c r="D344" s="18" t="s">
        <v>2638</v>
      </c>
      <c r="E344" s="18" t="s">
        <v>2639</v>
      </c>
      <c r="F344" s="18" t="s">
        <v>2587</v>
      </c>
      <c r="G344" s="18" t="s">
        <v>237</v>
      </c>
      <c r="H344" s="18" t="s">
        <v>144</v>
      </c>
      <c r="I344" s="18" t="s">
        <v>2640</v>
      </c>
      <c r="J344" s="18" t="s">
        <v>2641</v>
      </c>
      <c r="K344" s="18" t="s">
        <v>147</v>
      </c>
      <c r="L344" s="19">
        <v>97219</v>
      </c>
    </row>
    <row r="345" spans="1:12" ht="18" customHeight="1">
      <c r="A345" s="16" t="s">
        <v>2642</v>
      </c>
      <c r="B345" s="17" t="s">
        <v>2643</v>
      </c>
      <c r="C345" s="18" t="s">
        <v>2644</v>
      </c>
      <c r="D345" s="18" t="s">
        <v>2645</v>
      </c>
      <c r="E345" s="18" t="s">
        <v>2646</v>
      </c>
      <c r="F345" s="18" t="s">
        <v>2587</v>
      </c>
      <c r="G345" s="18" t="s">
        <v>237</v>
      </c>
      <c r="H345" s="18" t="s">
        <v>1153</v>
      </c>
      <c r="I345" s="18" t="s">
        <v>2647</v>
      </c>
      <c r="J345" s="18" t="s">
        <v>2648</v>
      </c>
      <c r="K345" s="18" t="s">
        <v>1153</v>
      </c>
      <c r="L345" s="19">
        <v>68000</v>
      </c>
    </row>
    <row r="346" spans="1:12" ht="18" customHeight="1">
      <c r="A346" s="16" t="s">
        <v>2649</v>
      </c>
      <c r="B346" s="17" t="s">
        <v>2650</v>
      </c>
      <c r="C346" s="18" t="s">
        <v>2651</v>
      </c>
      <c r="D346" s="18" t="s">
        <v>2652</v>
      </c>
      <c r="E346" s="18" t="s">
        <v>2653</v>
      </c>
      <c r="F346" s="18" t="s">
        <v>2587</v>
      </c>
      <c r="G346" s="18" t="s">
        <v>237</v>
      </c>
      <c r="H346" s="18" t="s">
        <v>136</v>
      </c>
      <c r="I346" s="18" t="s">
        <v>2654</v>
      </c>
      <c r="J346" s="18" t="s">
        <v>2655</v>
      </c>
      <c r="K346" s="18" t="s">
        <v>2656</v>
      </c>
      <c r="L346" s="19">
        <v>41700</v>
      </c>
    </row>
    <row r="347" spans="1:12" ht="18" customHeight="1">
      <c r="A347" s="16" t="s">
        <v>2657</v>
      </c>
      <c r="B347" s="17" t="s">
        <v>2658</v>
      </c>
      <c r="C347" s="18" t="s">
        <v>2659</v>
      </c>
      <c r="D347" s="18" t="s">
        <v>2660</v>
      </c>
      <c r="E347" s="18" t="s">
        <v>2661</v>
      </c>
      <c r="F347" s="18" t="s">
        <v>2587</v>
      </c>
      <c r="G347" s="18" t="s">
        <v>237</v>
      </c>
      <c r="H347" s="18" t="s">
        <v>583</v>
      </c>
      <c r="I347" s="18" t="s">
        <v>2662</v>
      </c>
      <c r="J347" s="18" t="s">
        <v>2663</v>
      </c>
      <c r="K347" s="18" t="s">
        <v>2664</v>
      </c>
      <c r="L347" s="19">
        <v>42083</v>
      </c>
    </row>
    <row r="348" spans="1:12" ht="18" customHeight="1">
      <c r="A348" s="16" t="s">
        <v>2665</v>
      </c>
      <c r="B348" s="17" t="s">
        <v>2666</v>
      </c>
      <c r="C348" s="18" t="s">
        <v>2667</v>
      </c>
      <c r="D348" s="18" t="s">
        <v>2668</v>
      </c>
      <c r="E348" s="18" t="s">
        <v>2669</v>
      </c>
      <c r="F348" s="18" t="s">
        <v>2587</v>
      </c>
      <c r="G348" s="18" t="s">
        <v>237</v>
      </c>
      <c r="H348" s="18" t="s">
        <v>168</v>
      </c>
      <c r="I348" s="18" t="s">
        <v>2670</v>
      </c>
      <c r="J348" s="18" t="s">
        <v>2671</v>
      </c>
      <c r="K348" s="18" t="s">
        <v>168</v>
      </c>
      <c r="L348" s="19">
        <v>72010</v>
      </c>
    </row>
    <row r="349" spans="1:12" ht="18" customHeight="1">
      <c r="A349" s="16" t="s">
        <v>2672</v>
      </c>
      <c r="B349" s="17" t="s">
        <v>2673</v>
      </c>
      <c r="C349" s="18" t="s">
        <v>2674</v>
      </c>
      <c r="D349" s="18" t="s">
        <v>2675</v>
      </c>
      <c r="E349" s="18" t="s">
        <v>2676</v>
      </c>
      <c r="F349" s="18" t="s">
        <v>2587</v>
      </c>
      <c r="G349" s="18" t="s">
        <v>237</v>
      </c>
      <c r="H349" s="18" t="s">
        <v>1153</v>
      </c>
      <c r="I349" s="18" t="s">
        <v>2677</v>
      </c>
      <c r="J349" s="18" t="s">
        <v>2678</v>
      </c>
      <c r="K349" s="18" t="s">
        <v>2679</v>
      </c>
      <c r="L349" s="19">
        <v>71980</v>
      </c>
    </row>
    <row r="350" spans="1:12" ht="18" customHeight="1">
      <c r="A350" s="16" t="s">
        <v>2680</v>
      </c>
      <c r="B350" s="17" t="s">
        <v>2681</v>
      </c>
      <c r="C350" s="18" t="s">
        <v>2682</v>
      </c>
      <c r="D350" s="18" t="s">
        <v>2683</v>
      </c>
      <c r="E350" s="18" t="s">
        <v>2684</v>
      </c>
      <c r="F350" s="18" t="s">
        <v>2587</v>
      </c>
      <c r="G350" s="18" t="s">
        <v>237</v>
      </c>
      <c r="H350" s="18" t="s">
        <v>213</v>
      </c>
      <c r="I350" s="18" t="s">
        <v>2685</v>
      </c>
      <c r="J350" s="18" t="s">
        <v>2686</v>
      </c>
      <c r="K350" s="18" t="s">
        <v>2687</v>
      </c>
      <c r="L350" s="19">
        <v>89109</v>
      </c>
    </row>
    <row r="351" spans="1:12" ht="18" customHeight="1">
      <c r="A351" s="16" t="s">
        <v>2688</v>
      </c>
      <c r="B351" s="17" t="s">
        <v>2689</v>
      </c>
      <c r="C351" s="18" t="s">
        <v>2690</v>
      </c>
      <c r="D351" s="18" t="s">
        <v>2691</v>
      </c>
      <c r="E351" s="18" t="s">
        <v>2692</v>
      </c>
      <c r="F351" s="18" t="s">
        <v>2587</v>
      </c>
      <c r="G351" s="18" t="s">
        <v>237</v>
      </c>
      <c r="H351" s="18" t="s">
        <v>136</v>
      </c>
      <c r="I351" s="18" t="s">
        <v>2693</v>
      </c>
      <c r="J351" s="18" t="s">
        <v>2694</v>
      </c>
      <c r="K351" s="18" t="s">
        <v>2695</v>
      </c>
      <c r="L351" s="19">
        <v>40900</v>
      </c>
    </row>
    <row r="352" spans="1:12" ht="18" customHeight="1">
      <c r="A352" s="16" t="s">
        <v>2696</v>
      </c>
      <c r="B352" s="17" t="s">
        <v>2697</v>
      </c>
      <c r="C352" s="18" t="s">
        <v>2698</v>
      </c>
      <c r="D352" s="18" t="s">
        <v>2699</v>
      </c>
      <c r="E352" s="18" t="s">
        <v>2700</v>
      </c>
      <c r="F352" s="18" t="s">
        <v>2587</v>
      </c>
      <c r="G352" s="18" t="s">
        <v>237</v>
      </c>
      <c r="H352" s="18" t="s">
        <v>136</v>
      </c>
      <c r="I352" s="18" t="s">
        <v>2701</v>
      </c>
      <c r="J352" s="18" t="s">
        <v>2702</v>
      </c>
      <c r="K352" s="18" t="s">
        <v>2703</v>
      </c>
      <c r="L352" s="19">
        <v>41304</v>
      </c>
    </row>
    <row r="353" spans="1:12" ht="18" customHeight="1">
      <c r="A353" s="16" t="s">
        <v>2704</v>
      </c>
      <c r="B353" s="17" t="s">
        <v>2705</v>
      </c>
      <c r="C353" s="18" t="s">
        <v>2706</v>
      </c>
      <c r="D353" s="18" t="s">
        <v>2707</v>
      </c>
      <c r="E353" s="18" t="s">
        <v>2708</v>
      </c>
      <c r="F353" s="18" t="s">
        <v>2587</v>
      </c>
      <c r="G353" s="18" t="s">
        <v>237</v>
      </c>
      <c r="H353" s="18" t="s">
        <v>1153</v>
      </c>
      <c r="I353" s="18" t="s">
        <v>2709</v>
      </c>
      <c r="J353" s="18" t="s">
        <v>2710</v>
      </c>
      <c r="K353" s="18" t="s">
        <v>2711</v>
      </c>
      <c r="L353" s="19">
        <v>69800</v>
      </c>
    </row>
    <row r="354" spans="1:12" ht="18" customHeight="1">
      <c r="A354" s="16" t="s">
        <v>2712</v>
      </c>
      <c r="B354" s="17" t="s">
        <v>2713</v>
      </c>
      <c r="C354" s="18" t="s">
        <v>2714</v>
      </c>
      <c r="D354" s="18" t="s">
        <v>2715</v>
      </c>
      <c r="E354" s="18" t="s">
        <v>2716</v>
      </c>
      <c r="F354" s="18" t="s">
        <v>2587</v>
      </c>
      <c r="G354" s="18" t="s">
        <v>237</v>
      </c>
      <c r="H354" s="18" t="s">
        <v>106</v>
      </c>
      <c r="I354" s="18" t="s">
        <v>2717</v>
      </c>
      <c r="J354" s="18" t="s">
        <v>2718</v>
      </c>
      <c r="K354" s="18" t="s">
        <v>289</v>
      </c>
      <c r="L354" s="19">
        <v>27268</v>
      </c>
    </row>
    <row r="355" spans="1:12" ht="18" customHeight="1">
      <c r="A355" s="16" t="s">
        <v>2719</v>
      </c>
      <c r="B355" s="17" t="s">
        <v>2720</v>
      </c>
      <c r="C355" s="18" t="s">
        <v>2721</v>
      </c>
      <c r="D355" s="18" t="s">
        <v>2722</v>
      </c>
      <c r="E355" s="18" t="s">
        <v>2723</v>
      </c>
      <c r="F355" s="18" t="s">
        <v>2587</v>
      </c>
      <c r="G355" s="18" t="s">
        <v>237</v>
      </c>
      <c r="H355" s="18" t="s">
        <v>294</v>
      </c>
      <c r="I355" s="18" t="s">
        <v>2724</v>
      </c>
      <c r="J355" s="18" t="s">
        <v>2725</v>
      </c>
      <c r="K355" s="18" t="s">
        <v>304</v>
      </c>
      <c r="L355" s="19">
        <v>55430</v>
      </c>
    </row>
    <row r="356" spans="1:12" ht="18" customHeight="1">
      <c r="A356" s="16" t="s">
        <v>2726</v>
      </c>
      <c r="B356" s="17" t="s">
        <v>2727</v>
      </c>
      <c r="C356" s="18" t="s">
        <v>2728</v>
      </c>
      <c r="D356" s="18" t="s">
        <v>2729</v>
      </c>
      <c r="E356" s="18" t="s">
        <v>2730</v>
      </c>
      <c r="F356" s="18" t="s">
        <v>2731</v>
      </c>
      <c r="G356" s="18" t="s">
        <v>237</v>
      </c>
      <c r="H356" s="18" t="s">
        <v>253</v>
      </c>
      <c r="I356" s="18" t="s">
        <v>2732</v>
      </c>
      <c r="J356" s="18" t="s">
        <v>2733</v>
      </c>
      <c r="K356" s="18" t="s">
        <v>330</v>
      </c>
      <c r="L356" s="19" t="s">
        <v>2734</v>
      </c>
    </row>
    <row r="357" spans="1:12" ht="18" customHeight="1">
      <c r="A357" s="16" t="s">
        <v>2735</v>
      </c>
      <c r="B357" s="17" t="s">
        <v>2736</v>
      </c>
      <c r="C357" s="18" t="s">
        <v>56</v>
      </c>
      <c r="D357" s="18" t="s">
        <v>2737</v>
      </c>
      <c r="E357" s="18" t="s">
        <v>2738</v>
      </c>
      <c r="F357" s="18" t="s">
        <v>350</v>
      </c>
      <c r="G357" s="18" t="s">
        <v>60</v>
      </c>
      <c r="H357" s="18" t="s">
        <v>253</v>
      </c>
      <c r="I357" s="18" t="s">
        <v>2739</v>
      </c>
      <c r="J357" s="18" t="s">
        <v>2740</v>
      </c>
      <c r="K357" s="18" t="s">
        <v>1028</v>
      </c>
      <c r="L357" s="19">
        <v>14070</v>
      </c>
    </row>
    <row r="358" spans="1:12" ht="18" customHeight="1">
      <c r="A358" s="16" t="s">
        <v>2741</v>
      </c>
      <c r="B358" s="17" t="s">
        <v>2742</v>
      </c>
      <c r="C358" s="18" t="s">
        <v>56</v>
      </c>
      <c r="D358" s="18" t="s">
        <v>2743</v>
      </c>
      <c r="E358" s="18" t="s">
        <v>2744</v>
      </c>
      <c r="F358" s="18" t="s">
        <v>350</v>
      </c>
      <c r="G358" s="18" t="s">
        <v>60</v>
      </c>
      <c r="H358" s="18" t="s">
        <v>253</v>
      </c>
      <c r="I358" s="18" t="s">
        <v>2745</v>
      </c>
      <c r="J358" s="18" t="s">
        <v>2746</v>
      </c>
      <c r="K358" s="18" t="s">
        <v>281</v>
      </c>
      <c r="L358" s="19">
        <v>6030</v>
      </c>
    </row>
    <row r="359" spans="1:12" ht="18" customHeight="1">
      <c r="A359" s="16" t="s">
        <v>2747</v>
      </c>
      <c r="B359" s="17"/>
      <c r="C359" s="18" t="s">
        <v>56</v>
      </c>
      <c r="D359" s="18" t="s">
        <v>2748</v>
      </c>
      <c r="E359" s="18" t="s">
        <v>2749</v>
      </c>
      <c r="F359" s="18"/>
      <c r="G359" s="18" t="s">
        <v>60</v>
      </c>
      <c r="H359" s="18" t="s">
        <v>253</v>
      </c>
      <c r="I359" s="18" t="s">
        <v>2750</v>
      </c>
      <c r="J359" s="18" t="s">
        <v>2751</v>
      </c>
      <c r="K359" s="18" t="s">
        <v>281</v>
      </c>
      <c r="L359" s="19" t="s">
        <v>2752</v>
      </c>
    </row>
    <row r="360" spans="1:12" ht="18" customHeight="1">
      <c r="A360" s="16" t="s">
        <v>2753</v>
      </c>
      <c r="B360" s="17" t="s">
        <v>2754</v>
      </c>
      <c r="C360" s="18" t="s">
        <v>56</v>
      </c>
      <c r="D360" s="18" t="s">
        <v>2755</v>
      </c>
      <c r="E360" s="18" t="s">
        <v>2756</v>
      </c>
      <c r="F360" s="18" t="s">
        <v>350</v>
      </c>
      <c r="G360" s="18" t="s">
        <v>60</v>
      </c>
      <c r="H360" s="18" t="s">
        <v>253</v>
      </c>
      <c r="I360" s="18" t="s">
        <v>2757</v>
      </c>
      <c r="J360" s="18" t="s">
        <v>371</v>
      </c>
      <c r="K360" s="18" t="s">
        <v>281</v>
      </c>
      <c r="L360" s="19" t="s">
        <v>372</v>
      </c>
    </row>
    <row r="361" spans="1:12" ht="18" customHeight="1">
      <c r="A361" s="16" t="s">
        <v>2758</v>
      </c>
      <c r="B361" s="17" t="s">
        <v>2736</v>
      </c>
      <c r="C361" s="18" t="s">
        <v>56</v>
      </c>
      <c r="D361" s="18" t="s">
        <v>2759</v>
      </c>
      <c r="E361" s="18" t="s">
        <v>2760</v>
      </c>
      <c r="F361" s="18" t="s">
        <v>350</v>
      </c>
      <c r="G361" s="18" t="s">
        <v>60</v>
      </c>
      <c r="H361" s="18" t="s">
        <v>253</v>
      </c>
      <c r="I361" s="18" t="s">
        <v>2761</v>
      </c>
      <c r="J361" s="18" t="s">
        <v>2740</v>
      </c>
      <c r="K361" s="18" t="s">
        <v>1028</v>
      </c>
      <c r="L361" s="19">
        <v>14070</v>
      </c>
    </row>
    <row r="362" spans="1:12" ht="18" customHeight="1">
      <c r="A362" s="16" t="s">
        <v>2762</v>
      </c>
      <c r="B362" s="17" t="s">
        <v>2754</v>
      </c>
      <c r="C362" s="18" t="s">
        <v>56</v>
      </c>
      <c r="D362" s="18" t="s">
        <v>2763</v>
      </c>
      <c r="E362" s="18" t="s">
        <v>2764</v>
      </c>
      <c r="F362" s="18" t="s">
        <v>350</v>
      </c>
      <c r="G362" s="18" t="s">
        <v>60</v>
      </c>
      <c r="H362" s="18" t="s">
        <v>253</v>
      </c>
      <c r="I362" s="18" t="s">
        <v>2765</v>
      </c>
      <c r="J362" s="18" t="s">
        <v>371</v>
      </c>
      <c r="K362" s="18" t="s">
        <v>281</v>
      </c>
      <c r="L362" s="19" t="s">
        <v>372</v>
      </c>
    </row>
    <row r="363" spans="1:12" ht="18" customHeight="1">
      <c r="A363" s="16" t="s">
        <v>2766</v>
      </c>
      <c r="B363" s="17" t="s">
        <v>2767</v>
      </c>
      <c r="C363" s="18" t="s">
        <v>56</v>
      </c>
      <c r="D363" s="18" t="s">
        <v>2768</v>
      </c>
      <c r="E363" s="18" t="s">
        <v>2769</v>
      </c>
      <c r="F363" s="18" t="s">
        <v>350</v>
      </c>
      <c r="G363" s="18" t="s">
        <v>60</v>
      </c>
      <c r="H363" s="18" t="s">
        <v>114</v>
      </c>
      <c r="I363" s="18" t="s">
        <v>2770</v>
      </c>
      <c r="J363" s="18" t="s">
        <v>2771</v>
      </c>
      <c r="K363" s="18" t="s">
        <v>2772</v>
      </c>
      <c r="L363" s="19">
        <v>28978</v>
      </c>
    </row>
    <row r="364" spans="1:12" ht="18" customHeight="1">
      <c r="A364" s="16" t="s">
        <v>2773</v>
      </c>
      <c r="B364" s="17" t="s">
        <v>350</v>
      </c>
      <c r="C364" s="18" t="s">
        <v>56</v>
      </c>
      <c r="D364" s="18" t="s">
        <v>2774</v>
      </c>
      <c r="E364" s="18" t="s">
        <v>2775</v>
      </c>
      <c r="F364" s="18" t="s">
        <v>350</v>
      </c>
      <c r="G364" s="18" t="s">
        <v>60</v>
      </c>
      <c r="H364" s="18" t="s">
        <v>91</v>
      </c>
      <c r="I364" s="18" t="s">
        <v>2770</v>
      </c>
      <c r="J364" s="18" t="s">
        <v>2776</v>
      </c>
      <c r="K364" s="18" t="s">
        <v>94</v>
      </c>
      <c r="L364" s="19">
        <v>29060</v>
      </c>
    </row>
    <row r="365" spans="1:12" ht="18" customHeight="1">
      <c r="A365" s="16" t="s">
        <v>2777</v>
      </c>
      <c r="B365" s="17" t="s">
        <v>2778</v>
      </c>
      <c r="C365" s="18" t="s">
        <v>56</v>
      </c>
      <c r="D365" s="18" t="s">
        <v>2779</v>
      </c>
      <c r="E365" s="18" t="s">
        <v>2780</v>
      </c>
      <c r="F365" s="18" t="s">
        <v>350</v>
      </c>
      <c r="G365" s="18" t="s">
        <v>60</v>
      </c>
      <c r="H365" s="18" t="s">
        <v>182</v>
      </c>
      <c r="I365" s="18" t="s">
        <v>2770</v>
      </c>
      <c r="J365" s="18" t="s">
        <v>2781</v>
      </c>
      <c r="K365" s="18" t="s">
        <v>2782</v>
      </c>
      <c r="L365" s="19">
        <v>77039</v>
      </c>
    </row>
    <row r="366" spans="1:12" ht="18" customHeight="1">
      <c r="A366" s="16" t="s">
        <v>2783</v>
      </c>
      <c r="B366" s="17"/>
      <c r="C366" s="18" t="s">
        <v>56</v>
      </c>
      <c r="D366" s="18" t="s">
        <v>2784</v>
      </c>
      <c r="E366" s="18" t="s">
        <v>2785</v>
      </c>
      <c r="F366" s="18"/>
      <c r="G366" s="18" t="s">
        <v>60</v>
      </c>
      <c r="H366" s="18" t="s">
        <v>294</v>
      </c>
      <c r="I366" s="18" t="s">
        <v>2770</v>
      </c>
      <c r="J366" s="18" t="s">
        <v>2786</v>
      </c>
      <c r="K366" s="18" t="s">
        <v>1162</v>
      </c>
      <c r="L366" s="19">
        <v>50071</v>
      </c>
    </row>
    <row r="367" spans="1:12" ht="18" customHeight="1">
      <c r="A367" s="16" t="s">
        <v>2787</v>
      </c>
      <c r="B367" s="17" t="s">
        <v>2788</v>
      </c>
      <c r="C367" s="18" t="s">
        <v>56</v>
      </c>
      <c r="D367" s="18" t="s">
        <v>2789</v>
      </c>
      <c r="E367" s="18" t="s">
        <v>2790</v>
      </c>
      <c r="F367" s="18" t="s">
        <v>350</v>
      </c>
      <c r="G367" s="18" t="s">
        <v>60</v>
      </c>
      <c r="H367" s="18" t="s">
        <v>253</v>
      </c>
      <c r="I367" s="18" t="s">
        <v>2791</v>
      </c>
      <c r="J367" s="18" t="s">
        <v>2792</v>
      </c>
      <c r="K367" s="18" t="s">
        <v>281</v>
      </c>
      <c r="L367" s="19" t="s">
        <v>339</v>
      </c>
    </row>
    <row r="368" spans="1:12" ht="18" customHeight="1">
      <c r="A368" s="16" t="s">
        <v>2787</v>
      </c>
      <c r="B368" s="17" t="s">
        <v>2793</v>
      </c>
      <c r="C368" s="18" t="s">
        <v>56</v>
      </c>
      <c r="D368" s="18" t="s">
        <v>2794</v>
      </c>
      <c r="E368" s="18" t="s">
        <v>2795</v>
      </c>
      <c r="F368" s="18" t="s">
        <v>350</v>
      </c>
      <c r="G368" s="18" t="s">
        <v>60</v>
      </c>
      <c r="H368" s="18" t="s">
        <v>253</v>
      </c>
      <c r="I368" s="18" t="s">
        <v>2791</v>
      </c>
      <c r="J368" s="18" t="s">
        <v>2796</v>
      </c>
      <c r="K368" s="18" t="s">
        <v>1060</v>
      </c>
      <c r="L368" s="19">
        <v>11850</v>
      </c>
    </row>
    <row r="369" spans="1:12" ht="18" customHeight="1">
      <c r="A369" s="16" t="s">
        <v>2797</v>
      </c>
      <c r="B369" s="17" t="s">
        <v>2798</v>
      </c>
      <c r="C369" s="18" t="s">
        <v>56</v>
      </c>
      <c r="D369" s="18" t="s">
        <v>2799</v>
      </c>
      <c r="E369" s="18" t="s">
        <v>2800</v>
      </c>
      <c r="F369" s="18" t="s">
        <v>350</v>
      </c>
      <c r="G369" s="18" t="s">
        <v>60</v>
      </c>
      <c r="H369" s="18" t="s">
        <v>253</v>
      </c>
      <c r="I369" s="18" t="s">
        <v>2801</v>
      </c>
      <c r="J369" s="18" t="s">
        <v>2802</v>
      </c>
      <c r="K369" s="18" t="s">
        <v>2803</v>
      </c>
      <c r="L369" s="19" t="s">
        <v>1278</v>
      </c>
    </row>
    <row r="370" spans="1:12" ht="18" customHeight="1">
      <c r="A370" s="16" t="s">
        <v>2804</v>
      </c>
      <c r="B370" s="17" t="s">
        <v>2805</v>
      </c>
      <c r="C370" s="18" t="s">
        <v>56</v>
      </c>
      <c r="D370" s="18" t="s">
        <v>2806</v>
      </c>
      <c r="E370" s="18" t="s">
        <v>2807</v>
      </c>
      <c r="F370" s="18" t="s">
        <v>350</v>
      </c>
      <c r="G370" s="18" t="s">
        <v>60</v>
      </c>
      <c r="H370" s="18" t="s">
        <v>294</v>
      </c>
      <c r="I370" s="18" t="s">
        <v>2808</v>
      </c>
      <c r="J370" s="18" t="s">
        <v>2809</v>
      </c>
      <c r="K370" s="18" t="s">
        <v>1162</v>
      </c>
      <c r="L370" s="19">
        <v>50071</v>
      </c>
    </row>
    <row r="371" spans="1:12" ht="18" customHeight="1">
      <c r="A371" s="16" t="s">
        <v>2810</v>
      </c>
      <c r="B371" s="17" t="s">
        <v>2811</v>
      </c>
      <c r="C371" s="18" t="s">
        <v>56</v>
      </c>
      <c r="D371" s="18" t="s">
        <v>2812</v>
      </c>
      <c r="E371" s="18" t="s">
        <v>2813</v>
      </c>
      <c r="F371" s="18" t="s">
        <v>350</v>
      </c>
      <c r="G371" s="18" t="s">
        <v>60</v>
      </c>
      <c r="H371" s="18" t="s">
        <v>253</v>
      </c>
      <c r="I371" s="18" t="s">
        <v>2814</v>
      </c>
      <c r="J371" s="18" t="s">
        <v>2815</v>
      </c>
      <c r="K371" s="18" t="s">
        <v>1028</v>
      </c>
      <c r="L371" s="19">
        <v>14050</v>
      </c>
    </row>
    <row r="372" spans="1:12" ht="18" customHeight="1">
      <c r="A372" s="16" t="s">
        <v>2816</v>
      </c>
      <c r="B372" s="17" t="s">
        <v>2817</v>
      </c>
      <c r="C372" s="18" t="s">
        <v>56</v>
      </c>
      <c r="D372" s="18" t="s">
        <v>2818</v>
      </c>
      <c r="E372" s="18" t="s">
        <v>2819</v>
      </c>
      <c r="F372" s="18" t="s">
        <v>350</v>
      </c>
      <c r="G372" s="18" t="s">
        <v>60</v>
      </c>
      <c r="H372" s="18" t="s">
        <v>99</v>
      </c>
      <c r="I372" s="18" t="s">
        <v>2820</v>
      </c>
      <c r="J372" s="18" t="s">
        <v>2821</v>
      </c>
      <c r="K372" s="18" t="s">
        <v>99</v>
      </c>
      <c r="L372" s="19">
        <v>31110</v>
      </c>
    </row>
    <row r="373" spans="1:12" ht="18" customHeight="1">
      <c r="A373" s="16" t="s">
        <v>2822</v>
      </c>
      <c r="B373" s="17" t="s">
        <v>2823</v>
      </c>
      <c r="C373" s="18" t="s">
        <v>56</v>
      </c>
      <c r="D373" s="18" t="s">
        <v>2824</v>
      </c>
      <c r="E373" s="18" t="s">
        <v>2825</v>
      </c>
      <c r="F373" s="18" t="s">
        <v>350</v>
      </c>
      <c r="G373" s="18" t="s">
        <v>60</v>
      </c>
      <c r="H373" s="18" t="s">
        <v>294</v>
      </c>
      <c r="I373" s="18" t="s">
        <v>2820</v>
      </c>
      <c r="J373" s="18" t="s">
        <v>2826</v>
      </c>
      <c r="K373" s="18" t="s">
        <v>1162</v>
      </c>
      <c r="L373" s="19">
        <v>50071</v>
      </c>
    </row>
    <row r="374" spans="1:12" ht="18" customHeight="1">
      <c r="A374" s="16" t="s">
        <v>2827</v>
      </c>
      <c r="B374" s="17" t="s">
        <v>2828</v>
      </c>
      <c r="C374" s="18" t="s">
        <v>56</v>
      </c>
      <c r="D374" s="18" t="s">
        <v>2829</v>
      </c>
      <c r="E374" s="18" t="s">
        <v>2830</v>
      </c>
      <c r="F374" s="18" t="s">
        <v>350</v>
      </c>
      <c r="G374" s="18" t="s">
        <v>60</v>
      </c>
      <c r="H374" s="18" t="s">
        <v>504</v>
      </c>
      <c r="I374" s="18" t="s">
        <v>2831</v>
      </c>
      <c r="J374" s="18" t="s">
        <v>2832</v>
      </c>
      <c r="K374" s="18" t="s">
        <v>507</v>
      </c>
      <c r="L374" s="19">
        <v>80140</v>
      </c>
    </row>
    <row r="375" spans="1:12" ht="18" customHeight="1">
      <c r="A375" s="16" t="s">
        <v>2833</v>
      </c>
      <c r="B375" s="17" t="s">
        <v>2736</v>
      </c>
      <c r="C375" s="18" t="s">
        <v>56</v>
      </c>
      <c r="D375" s="18" t="s">
        <v>2834</v>
      </c>
      <c r="E375" s="18" t="s">
        <v>2835</v>
      </c>
      <c r="F375" s="18" t="s">
        <v>350</v>
      </c>
      <c r="G375" s="18" t="s">
        <v>60</v>
      </c>
      <c r="H375" s="18" t="s">
        <v>253</v>
      </c>
      <c r="I375" s="18" t="s">
        <v>2836</v>
      </c>
      <c r="J375" s="18" t="s">
        <v>2740</v>
      </c>
      <c r="K375" s="18" t="s">
        <v>1028</v>
      </c>
      <c r="L375" s="19">
        <v>14070</v>
      </c>
    </row>
    <row r="376" spans="1:12" ht="18" customHeight="1">
      <c r="A376" s="16" t="s">
        <v>2837</v>
      </c>
      <c r="B376" s="17" t="s">
        <v>2754</v>
      </c>
      <c r="C376" s="18" t="s">
        <v>56</v>
      </c>
      <c r="D376" s="18" t="s">
        <v>2838</v>
      </c>
      <c r="E376" s="18" t="s">
        <v>2839</v>
      </c>
      <c r="F376" s="18" t="s">
        <v>350</v>
      </c>
      <c r="G376" s="18" t="s">
        <v>60</v>
      </c>
      <c r="H376" s="18" t="s">
        <v>253</v>
      </c>
      <c r="I376" s="18" t="s">
        <v>2840</v>
      </c>
      <c r="J376" s="18" t="s">
        <v>2841</v>
      </c>
      <c r="K376" s="18" t="s">
        <v>281</v>
      </c>
      <c r="L376" s="19" t="s">
        <v>372</v>
      </c>
    </row>
    <row r="377" spans="1:12" ht="18" customHeight="1">
      <c r="A377" s="16" t="s">
        <v>2842</v>
      </c>
      <c r="B377" s="17" t="s">
        <v>2843</v>
      </c>
      <c r="C377" s="18" t="s">
        <v>56</v>
      </c>
      <c r="D377" s="18" t="s">
        <v>2844</v>
      </c>
      <c r="E377" s="18" t="s">
        <v>2845</v>
      </c>
      <c r="F377" s="18" t="s">
        <v>350</v>
      </c>
      <c r="G377" s="18" t="s">
        <v>60</v>
      </c>
      <c r="H377" s="18" t="s">
        <v>253</v>
      </c>
      <c r="I377" s="18" t="s">
        <v>2846</v>
      </c>
      <c r="J377" s="18" t="s">
        <v>2751</v>
      </c>
      <c r="K377" s="18" t="s">
        <v>281</v>
      </c>
      <c r="L377" s="19" t="s">
        <v>2752</v>
      </c>
    </row>
    <row r="378" spans="1:12" ht="18" customHeight="1">
      <c r="A378" s="16" t="s">
        <v>2847</v>
      </c>
      <c r="B378" s="17" t="s">
        <v>2848</v>
      </c>
      <c r="C378" s="18" t="s">
        <v>56</v>
      </c>
      <c r="D378" s="18" t="s">
        <v>2838</v>
      </c>
      <c r="E378" s="18" t="s">
        <v>2849</v>
      </c>
      <c r="F378" s="18" t="s">
        <v>350</v>
      </c>
      <c r="G378" s="18" t="s">
        <v>60</v>
      </c>
      <c r="H378" s="18" t="s">
        <v>253</v>
      </c>
      <c r="I378" s="18" t="s">
        <v>2850</v>
      </c>
      <c r="J378" s="18" t="s">
        <v>2841</v>
      </c>
      <c r="K378" s="18" t="s">
        <v>281</v>
      </c>
      <c r="L378" s="19" t="s">
        <v>2851</v>
      </c>
    </row>
    <row r="379" spans="1:12" ht="18" customHeight="1">
      <c r="A379" s="16" t="s">
        <v>2852</v>
      </c>
      <c r="B379" s="17" t="s">
        <v>2754</v>
      </c>
      <c r="C379" s="18" t="s">
        <v>56</v>
      </c>
      <c r="D379" s="18" t="s">
        <v>2853</v>
      </c>
      <c r="E379" s="18" t="s">
        <v>2854</v>
      </c>
      <c r="F379" s="18" t="s">
        <v>350</v>
      </c>
      <c r="G379" s="18" t="s">
        <v>60</v>
      </c>
      <c r="H379" s="18" t="s">
        <v>253</v>
      </c>
      <c r="I379" s="18" t="s">
        <v>2855</v>
      </c>
      <c r="J379" s="18" t="s">
        <v>2856</v>
      </c>
      <c r="K379" s="18" t="s">
        <v>281</v>
      </c>
      <c r="L379" s="19" t="s">
        <v>372</v>
      </c>
    </row>
    <row r="380" spans="1:12" ht="18" customHeight="1">
      <c r="A380" s="16" t="s">
        <v>2857</v>
      </c>
      <c r="B380" s="17" t="s">
        <v>2754</v>
      </c>
      <c r="C380" s="18" t="s">
        <v>56</v>
      </c>
      <c r="D380" s="18" t="s">
        <v>2858</v>
      </c>
      <c r="E380" s="18" t="s">
        <v>2859</v>
      </c>
      <c r="F380" s="18" t="s">
        <v>350</v>
      </c>
      <c r="G380" s="18" t="s">
        <v>60</v>
      </c>
      <c r="H380" s="18" t="s">
        <v>253</v>
      </c>
      <c r="I380" s="18" t="s">
        <v>2860</v>
      </c>
      <c r="J380" s="18" t="s">
        <v>371</v>
      </c>
      <c r="K380" s="18" t="s">
        <v>281</v>
      </c>
      <c r="L380" s="19" t="s">
        <v>372</v>
      </c>
    </row>
    <row r="381" spans="1:12" ht="18" customHeight="1">
      <c r="A381" s="16" t="s">
        <v>2861</v>
      </c>
      <c r="B381" s="17" t="s">
        <v>2754</v>
      </c>
      <c r="C381" s="18" t="s">
        <v>56</v>
      </c>
      <c r="D381" s="18" t="s">
        <v>2862</v>
      </c>
      <c r="E381" s="18" t="s">
        <v>2863</v>
      </c>
      <c r="F381" s="18" t="s">
        <v>350</v>
      </c>
      <c r="G381" s="18" t="s">
        <v>60</v>
      </c>
      <c r="H381" s="18" t="s">
        <v>253</v>
      </c>
      <c r="I381" s="18" t="s">
        <v>2864</v>
      </c>
      <c r="J381" s="18" t="s">
        <v>371</v>
      </c>
      <c r="K381" s="18" t="s">
        <v>281</v>
      </c>
      <c r="L381" s="19" t="s">
        <v>372</v>
      </c>
    </row>
    <row r="382" spans="1:12" ht="18" customHeight="1">
      <c r="A382" s="16" t="s">
        <v>2865</v>
      </c>
      <c r="B382" s="17" t="s">
        <v>2754</v>
      </c>
      <c r="C382" s="18" t="s">
        <v>56</v>
      </c>
      <c r="D382" s="18" t="s">
        <v>2866</v>
      </c>
      <c r="E382" s="18" t="s">
        <v>2867</v>
      </c>
      <c r="F382" s="18" t="s">
        <v>350</v>
      </c>
      <c r="G382" s="18" t="s">
        <v>60</v>
      </c>
      <c r="H382" s="18" t="s">
        <v>253</v>
      </c>
      <c r="I382" s="18" t="s">
        <v>2868</v>
      </c>
      <c r="J382" s="18" t="s">
        <v>2869</v>
      </c>
      <c r="K382" s="18" t="s">
        <v>281</v>
      </c>
      <c r="L382" s="19" t="s">
        <v>372</v>
      </c>
    </row>
    <row r="383" spans="1:12" ht="18" customHeight="1">
      <c r="A383" s="16" t="s">
        <v>2870</v>
      </c>
      <c r="B383" s="17" t="s">
        <v>2736</v>
      </c>
      <c r="C383" s="18" t="s">
        <v>56</v>
      </c>
      <c r="D383" s="18" t="s">
        <v>2871</v>
      </c>
      <c r="E383" s="18" t="s">
        <v>2872</v>
      </c>
      <c r="F383" s="18" t="s">
        <v>350</v>
      </c>
      <c r="G383" s="18" t="s">
        <v>60</v>
      </c>
      <c r="H383" s="18" t="s">
        <v>253</v>
      </c>
      <c r="I383" s="18" t="s">
        <v>2873</v>
      </c>
      <c r="J383" s="18" t="s">
        <v>2874</v>
      </c>
      <c r="K383" s="18" t="s">
        <v>1028</v>
      </c>
      <c r="L383" s="19">
        <v>14070</v>
      </c>
    </row>
    <row r="384" spans="1:12" ht="18" customHeight="1">
      <c r="A384" s="16" t="s">
        <v>2875</v>
      </c>
      <c r="B384" s="17" t="s">
        <v>2876</v>
      </c>
      <c r="C384" s="18" t="s">
        <v>56</v>
      </c>
      <c r="D384" s="18" t="s">
        <v>2877</v>
      </c>
      <c r="E384" s="18" t="s">
        <v>2878</v>
      </c>
      <c r="F384" s="18" t="s">
        <v>2879</v>
      </c>
      <c r="G384" s="18" t="s">
        <v>60</v>
      </c>
      <c r="H384" s="18" t="s">
        <v>76</v>
      </c>
      <c r="I384" s="18" t="s">
        <v>2880</v>
      </c>
      <c r="J384" s="18" t="s">
        <v>2881</v>
      </c>
      <c r="K384" s="18" t="s">
        <v>79</v>
      </c>
      <c r="L384" s="19">
        <v>21100</v>
      </c>
    </row>
    <row r="385" spans="1:12" ht="18" customHeight="1">
      <c r="A385" s="16" t="s">
        <v>2882</v>
      </c>
      <c r="B385" s="17" t="s">
        <v>2883</v>
      </c>
      <c r="C385" s="18" t="s">
        <v>56</v>
      </c>
      <c r="D385" s="18" t="s">
        <v>2884</v>
      </c>
      <c r="E385" s="18" t="s">
        <v>2885</v>
      </c>
      <c r="F385" s="18" t="s">
        <v>2879</v>
      </c>
      <c r="G385" s="18" t="s">
        <v>60</v>
      </c>
      <c r="H385" s="18" t="s">
        <v>128</v>
      </c>
      <c r="I385" s="18" t="s">
        <v>2886</v>
      </c>
      <c r="J385" s="18" t="s">
        <v>310</v>
      </c>
      <c r="K385" s="18" t="s">
        <v>131</v>
      </c>
      <c r="L385" s="19">
        <v>38020</v>
      </c>
    </row>
    <row r="386" spans="1:12" ht="18" customHeight="1">
      <c r="A386" s="16" t="s">
        <v>2887</v>
      </c>
      <c r="B386" s="17" t="s">
        <v>2888</v>
      </c>
      <c r="C386" s="18" t="s">
        <v>56</v>
      </c>
      <c r="D386" s="18" t="s">
        <v>2889</v>
      </c>
      <c r="E386" s="18" t="s">
        <v>2890</v>
      </c>
      <c r="F386" s="18" t="s">
        <v>2879</v>
      </c>
      <c r="G386" s="18" t="s">
        <v>60</v>
      </c>
      <c r="H386" s="18" t="s">
        <v>91</v>
      </c>
      <c r="I386" s="18" t="s">
        <v>2891</v>
      </c>
      <c r="J386" s="18" t="s">
        <v>2892</v>
      </c>
      <c r="K386" s="18" t="s">
        <v>94</v>
      </c>
      <c r="L386" s="19">
        <v>29034</v>
      </c>
    </row>
    <row r="387" spans="1:12" ht="18" customHeight="1">
      <c r="A387" s="16" t="s">
        <v>2893</v>
      </c>
      <c r="B387" s="17" t="s">
        <v>2894</v>
      </c>
      <c r="C387" s="18" t="s">
        <v>56</v>
      </c>
      <c r="D387" s="18" t="s">
        <v>2895</v>
      </c>
      <c r="E387" s="18" t="s">
        <v>2896</v>
      </c>
      <c r="F387" s="18" t="s">
        <v>2879</v>
      </c>
      <c r="G387" s="18" t="s">
        <v>60</v>
      </c>
      <c r="H387" s="18" t="s">
        <v>106</v>
      </c>
      <c r="I387" s="18" t="s">
        <v>2897</v>
      </c>
      <c r="J387" s="18" t="s">
        <v>2898</v>
      </c>
      <c r="K387" s="18" t="s">
        <v>109</v>
      </c>
      <c r="L387" s="19">
        <v>25000</v>
      </c>
    </row>
    <row r="388" spans="1:12" ht="18" customHeight="1">
      <c r="A388" s="16" t="s">
        <v>2899</v>
      </c>
      <c r="B388" s="17" t="s">
        <v>2900</v>
      </c>
      <c r="C388" s="18" t="s">
        <v>56</v>
      </c>
      <c r="D388" s="18" t="s">
        <v>2901</v>
      </c>
      <c r="E388" s="18" t="s">
        <v>2902</v>
      </c>
      <c r="F388" s="18" t="s">
        <v>2879</v>
      </c>
      <c r="G388" s="18" t="s">
        <v>60</v>
      </c>
      <c r="H388" s="18" t="s">
        <v>121</v>
      </c>
      <c r="I388" s="18" t="s">
        <v>2903</v>
      </c>
      <c r="J388" s="18" t="s">
        <v>2904</v>
      </c>
      <c r="K388" s="18" t="s">
        <v>121</v>
      </c>
      <c r="L388" s="19">
        <v>34200</v>
      </c>
    </row>
    <row r="389" spans="1:12" ht="18" customHeight="1">
      <c r="A389" s="16" t="s">
        <v>2905</v>
      </c>
      <c r="B389" s="17" t="s">
        <v>2906</v>
      </c>
      <c r="C389" s="18" t="s">
        <v>56</v>
      </c>
      <c r="D389" s="18" t="s">
        <v>2907</v>
      </c>
      <c r="E389" s="18" t="s">
        <v>2908</v>
      </c>
      <c r="F389" s="18" t="s">
        <v>2879</v>
      </c>
      <c r="G389" s="18" t="s">
        <v>60</v>
      </c>
      <c r="H389" s="18" t="s">
        <v>632</v>
      </c>
      <c r="I389" s="18" t="s">
        <v>2909</v>
      </c>
      <c r="J389" s="18" t="s">
        <v>2910</v>
      </c>
      <c r="K389" s="18" t="s">
        <v>632</v>
      </c>
      <c r="L389" s="19">
        <v>44280</v>
      </c>
    </row>
    <row r="390" spans="1:12" ht="18" customHeight="1">
      <c r="A390" s="16" t="s">
        <v>2911</v>
      </c>
      <c r="B390" s="17" t="s">
        <v>2912</v>
      </c>
      <c r="C390" s="18" t="s">
        <v>56</v>
      </c>
      <c r="D390" s="18" t="s">
        <v>2913</v>
      </c>
      <c r="E390" s="18" t="s">
        <v>2914</v>
      </c>
      <c r="F390" s="18" t="s">
        <v>2879</v>
      </c>
      <c r="G390" s="18" t="s">
        <v>60</v>
      </c>
      <c r="H390" s="18" t="s">
        <v>160</v>
      </c>
      <c r="I390" s="18" t="s">
        <v>2915</v>
      </c>
      <c r="J390" s="18" t="s">
        <v>2916</v>
      </c>
      <c r="K390" s="18" t="s">
        <v>930</v>
      </c>
      <c r="L390" s="19">
        <v>64000</v>
      </c>
    </row>
    <row r="391" spans="1:12" ht="18" customHeight="1">
      <c r="A391" s="16" t="s">
        <v>2917</v>
      </c>
      <c r="B391" s="17" t="s">
        <v>2918</v>
      </c>
      <c r="C391" s="18" t="s">
        <v>56</v>
      </c>
      <c r="D391" s="18" t="s">
        <v>2919</v>
      </c>
      <c r="E391" s="18" t="s">
        <v>2920</v>
      </c>
      <c r="F391" s="18" t="s">
        <v>2879</v>
      </c>
      <c r="G391" s="18" t="s">
        <v>60</v>
      </c>
      <c r="H391" s="18" t="s">
        <v>168</v>
      </c>
      <c r="I391" s="18" t="s">
        <v>2921</v>
      </c>
      <c r="J391" s="18" t="s">
        <v>1129</v>
      </c>
      <c r="K391" s="18" t="s">
        <v>168</v>
      </c>
      <c r="L391" s="19">
        <v>72140</v>
      </c>
    </row>
    <row r="392" spans="1:12" ht="18" customHeight="1">
      <c r="A392" s="16" t="s">
        <v>2922</v>
      </c>
      <c r="B392" s="17" t="s">
        <v>2923</v>
      </c>
      <c r="C392" s="18" t="s">
        <v>56</v>
      </c>
      <c r="D392" s="18" t="s">
        <v>2924</v>
      </c>
      <c r="E392" s="18" t="s">
        <v>2925</v>
      </c>
      <c r="F392" s="18" t="s">
        <v>2879</v>
      </c>
      <c r="G392" s="18" t="s">
        <v>60</v>
      </c>
      <c r="H392" s="18" t="s">
        <v>175</v>
      </c>
      <c r="I392" s="18" t="s">
        <v>2926</v>
      </c>
      <c r="J392" s="18" t="s">
        <v>2927</v>
      </c>
      <c r="K392" s="18" t="s">
        <v>1142</v>
      </c>
      <c r="L392" s="19">
        <v>76030</v>
      </c>
    </row>
    <row r="393" spans="1:12" ht="18" customHeight="1">
      <c r="A393" s="16" t="s">
        <v>2928</v>
      </c>
      <c r="B393" s="17" t="s">
        <v>2929</v>
      </c>
      <c r="C393" s="18" t="s">
        <v>56</v>
      </c>
      <c r="D393" s="18" t="s">
        <v>2930</v>
      </c>
      <c r="E393" s="18" t="s">
        <v>2931</v>
      </c>
      <c r="F393" s="18" t="s">
        <v>2879</v>
      </c>
      <c r="G393" s="18" t="s">
        <v>60</v>
      </c>
      <c r="H393" s="18" t="s">
        <v>190</v>
      </c>
      <c r="I393" s="18" t="s">
        <v>2932</v>
      </c>
      <c r="J393" s="18" t="s">
        <v>2933</v>
      </c>
      <c r="K393" s="18" t="s">
        <v>190</v>
      </c>
      <c r="L393" s="19">
        <v>78233</v>
      </c>
    </row>
    <row r="394" spans="1:12" ht="18" customHeight="1">
      <c r="A394" s="16" t="s">
        <v>2934</v>
      </c>
      <c r="B394" s="17" t="s">
        <v>2935</v>
      </c>
      <c r="C394" s="18" t="s">
        <v>56</v>
      </c>
      <c r="D394" s="18" t="s">
        <v>2936</v>
      </c>
      <c r="E394" s="18" t="s">
        <v>2937</v>
      </c>
      <c r="F394" s="18" t="s">
        <v>2879</v>
      </c>
      <c r="G394" s="18" t="s">
        <v>60</v>
      </c>
      <c r="H394" s="18" t="s">
        <v>197</v>
      </c>
      <c r="I394" s="18" t="s">
        <v>2938</v>
      </c>
      <c r="J394" s="18" t="s">
        <v>2939</v>
      </c>
      <c r="K394" s="18" t="s">
        <v>200</v>
      </c>
      <c r="L394" s="19">
        <v>83280</v>
      </c>
    </row>
    <row r="395" spans="1:12" ht="18" customHeight="1">
      <c r="A395" s="16" t="s">
        <v>2940</v>
      </c>
      <c r="B395" s="17" t="s">
        <v>2941</v>
      </c>
      <c r="C395" s="18" t="s">
        <v>56</v>
      </c>
      <c r="D395" s="18" t="s">
        <v>2942</v>
      </c>
      <c r="E395" s="18" t="s">
        <v>2943</v>
      </c>
      <c r="F395" s="18" t="s">
        <v>2879</v>
      </c>
      <c r="G395" s="18" t="s">
        <v>60</v>
      </c>
      <c r="H395" s="18" t="s">
        <v>205</v>
      </c>
      <c r="I395" s="18" t="s">
        <v>2944</v>
      </c>
      <c r="J395" s="18" t="s">
        <v>2945</v>
      </c>
      <c r="K395" s="18" t="s">
        <v>208</v>
      </c>
      <c r="L395" s="19">
        <v>86000</v>
      </c>
    </row>
    <row r="396" spans="1:12" ht="18" customHeight="1">
      <c r="A396" s="16" t="s">
        <v>2946</v>
      </c>
      <c r="B396" s="17" t="s">
        <v>2947</v>
      </c>
      <c r="C396" s="18" t="s">
        <v>56</v>
      </c>
      <c r="D396" s="18" t="s">
        <v>2948</v>
      </c>
      <c r="E396" s="18" t="s">
        <v>2949</v>
      </c>
      <c r="F396" s="18" t="s">
        <v>2879</v>
      </c>
      <c r="G396" s="18" t="s">
        <v>60</v>
      </c>
      <c r="H396" s="18" t="s">
        <v>221</v>
      </c>
      <c r="I396" s="18" t="s">
        <v>2950</v>
      </c>
      <c r="J396" s="18" t="s">
        <v>1135</v>
      </c>
      <c r="K396" s="18" t="s">
        <v>221</v>
      </c>
      <c r="L396" s="19">
        <v>90300</v>
      </c>
    </row>
    <row r="397" spans="1:12" ht="18" customHeight="1">
      <c r="A397" s="16" t="s">
        <v>2951</v>
      </c>
      <c r="B397" s="17" t="s">
        <v>2952</v>
      </c>
      <c r="C397" s="18" t="s">
        <v>56</v>
      </c>
      <c r="D397" s="18" t="s">
        <v>2953</v>
      </c>
      <c r="E397" s="18" t="s">
        <v>2954</v>
      </c>
      <c r="F397" s="18" t="s">
        <v>2879</v>
      </c>
      <c r="G397" s="18" t="s">
        <v>60</v>
      </c>
      <c r="H397" s="18" t="s">
        <v>616</v>
      </c>
      <c r="I397" s="18" t="s">
        <v>2955</v>
      </c>
      <c r="J397" s="18" t="s">
        <v>2956</v>
      </c>
      <c r="K397" s="18" t="s">
        <v>1181</v>
      </c>
      <c r="L397" s="19">
        <v>91010</v>
      </c>
    </row>
    <row r="398" spans="1:12" ht="18" customHeight="1">
      <c r="A398" s="16" t="s">
        <v>2957</v>
      </c>
      <c r="B398" s="17" t="s">
        <v>2958</v>
      </c>
      <c r="C398" s="18" t="s">
        <v>56</v>
      </c>
      <c r="D398" s="18" t="s">
        <v>2959</v>
      </c>
      <c r="E398" s="18" t="s">
        <v>2960</v>
      </c>
      <c r="F398" s="18" t="s">
        <v>2961</v>
      </c>
      <c r="G398" s="18" t="s">
        <v>60</v>
      </c>
      <c r="H398" s="18" t="s">
        <v>61</v>
      </c>
      <c r="I398" s="18" t="s">
        <v>2962</v>
      </c>
      <c r="J398" s="18" t="s">
        <v>2963</v>
      </c>
      <c r="K398" s="18" t="s">
        <v>61</v>
      </c>
      <c r="L398" s="19">
        <v>20230</v>
      </c>
    </row>
    <row r="399" spans="1:12" ht="18" customHeight="1">
      <c r="A399" s="16" t="s">
        <v>2964</v>
      </c>
      <c r="B399" s="17" t="s">
        <v>2965</v>
      </c>
      <c r="C399" s="18" t="s">
        <v>56</v>
      </c>
      <c r="D399" s="18" t="s">
        <v>2966</v>
      </c>
      <c r="E399" s="18" t="s">
        <v>2967</v>
      </c>
      <c r="F399" s="18" t="s">
        <v>2961</v>
      </c>
      <c r="G399" s="18" t="s">
        <v>60</v>
      </c>
      <c r="H399" s="18" t="s">
        <v>68</v>
      </c>
      <c r="I399" s="18" t="s">
        <v>2968</v>
      </c>
      <c r="J399" s="18" t="s">
        <v>2969</v>
      </c>
      <c r="K399" s="18" t="s">
        <v>71</v>
      </c>
      <c r="L399" s="19">
        <v>21038</v>
      </c>
    </row>
    <row r="400" spans="1:12" ht="18" customHeight="1">
      <c r="A400" s="16" t="s">
        <v>2970</v>
      </c>
      <c r="B400" s="17"/>
      <c r="C400" s="18" t="s">
        <v>56</v>
      </c>
      <c r="D400" s="18" t="s">
        <v>2971</v>
      </c>
      <c r="E400" s="18" t="s">
        <v>2972</v>
      </c>
      <c r="F400" s="18" t="s">
        <v>2961</v>
      </c>
      <c r="G400" s="18" t="s">
        <v>60</v>
      </c>
      <c r="H400" s="18" t="s">
        <v>253</v>
      </c>
      <c r="I400" s="18" t="s">
        <v>2973</v>
      </c>
      <c r="J400" s="18"/>
      <c r="K400" s="18"/>
      <c r="L400" s="19"/>
    </row>
    <row r="401" spans="1:12" ht="18" customHeight="1">
      <c r="A401" s="16" t="s">
        <v>2974</v>
      </c>
      <c r="B401" s="17" t="s">
        <v>2975</v>
      </c>
      <c r="C401" s="18" t="s">
        <v>56</v>
      </c>
      <c r="D401" s="18" t="s">
        <v>2976</v>
      </c>
      <c r="E401" s="18" t="s">
        <v>2977</v>
      </c>
      <c r="F401" s="18" t="s">
        <v>2961</v>
      </c>
      <c r="G401" s="18" t="s">
        <v>60</v>
      </c>
      <c r="H401" s="18" t="s">
        <v>68</v>
      </c>
      <c r="I401" s="18" t="s">
        <v>2978</v>
      </c>
      <c r="J401" s="18" t="s">
        <v>2979</v>
      </c>
      <c r="K401" s="18" t="s">
        <v>71</v>
      </c>
      <c r="L401" s="19">
        <v>21240</v>
      </c>
    </row>
    <row r="402" spans="1:12" ht="18" customHeight="1">
      <c r="A402" s="16" t="s">
        <v>2980</v>
      </c>
      <c r="B402" s="17" t="s">
        <v>2981</v>
      </c>
      <c r="C402" s="18" t="s">
        <v>56</v>
      </c>
      <c r="D402" s="18" t="s">
        <v>2982</v>
      </c>
      <c r="E402" s="18" t="s">
        <v>2983</v>
      </c>
      <c r="F402" s="18" t="s">
        <v>2961</v>
      </c>
      <c r="G402" s="18" t="s">
        <v>60</v>
      </c>
      <c r="H402" s="18" t="s">
        <v>68</v>
      </c>
      <c r="I402" s="18" t="s">
        <v>2984</v>
      </c>
      <c r="J402" s="18" t="s">
        <v>2985</v>
      </c>
      <c r="K402" s="18" t="s">
        <v>1526</v>
      </c>
      <c r="L402" s="19">
        <v>22880</v>
      </c>
    </row>
    <row r="403" spans="1:12" ht="18" customHeight="1">
      <c r="A403" s="16" t="s">
        <v>2986</v>
      </c>
      <c r="B403" s="17" t="s">
        <v>2987</v>
      </c>
      <c r="C403" s="18" t="s">
        <v>56</v>
      </c>
      <c r="D403" s="18" t="s">
        <v>2988</v>
      </c>
      <c r="E403" s="18" t="s">
        <v>2989</v>
      </c>
      <c r="F403" s="18" t="s">
        <v>2961</v>
      </c>
      <c r="G403" s="18" t="s">
        <v>60</v>
      </c>
      <c r="H403" s="18" t="s">
        <v>76</v>
      </c>
      <c r="I403" s="18" t="s">
        <v>2990</v>
      </c>
      <c r="J403" s="18" t="s">
        <v>2991</v>
      </c>
      <c r="K403" s="18" t="s">
        <v>79</v>
      </c>
      <c r="L403" s="19">
        <v>23070</v>
      </c>
    </row>
    <row r="404" spans="1:12" ht="18" customHeight="1">
      <c r="A404" s="16" t="s">
        <v>2992</v>
      </c>
      <c r="B404" s="17" t="s">
        <v>2993</v>
      </c>
      <c r="C404" s="18" t="s">
        <v>56</v>
      </c>
      <c r="D404" s="18" t="s">
        <v>2994</v>
      </c>
      <c r="E404" s="18" t="s">
        <v>2995</v>
      </c>
      <c r="F404" s="18" t="s">
        <v>2961</v>
      </c>
      <c r="G404" s="18" t="s">
        <v>60</v>
      </c>
      <c r="H404" s="18" t="s">
        <v>61</v>
      </c>
      <c r="I404" s="18" t="s">
        <v>2996</v>
      </c>
      <c r="J404" s="18" t="s">
        <v>2997</v>
      </c>
      <c r="K404" s="18" t="s">
        <v>61</v>
      </c>
      <c r="L404" s="19">
        <v>20190</v>
      </c>
    </row>
    <row r="405" spans="1:12" ht="18" customHeight="1">
      <c r="A405" s="16" t="s">
        <v>2998</v>
      </c>
      <c r="B405" s="17" t="s">
        <v>2999</v>
      </c>
      <c r="C405" s="18" t="s">
        <v>56</v>
      </c>
      <c r="D405" s="18" t="s">
        <v>3000</v>
      </c>
      <c r="E405" s="18" t="s">
        <v>3001</v>
      </c>
      <c r="F405" s="18" t="s">
        <v>2961</v>
      </c>
      <c r="G405" s="18" t="s">
        <v>60</v>
      </c>
      <c r="H405" s="18" t="s">
        <v>253</v>
      </c>
      <c r="I405" s="18" t="s">
        <v>3002</v>
      </c>
      <c r="J405" s="18" t="s">
        <v>3003</v>
      </c>
      <c r="K405" s="18" t="s">
        <v>281</v>
      </c>
      <c r="L405" s="19" t="s">
        <v>3004</v>
      </c>
    </row>
    <row r="406" spans="1:12" ht="18" customHeight="1">
      <c r="A406" s="16" t="s">
        <v>3005</v>
      </c>
      <c r="B406" s="17" t="s">
        <v>3006</v>
      </c>
      <c r="C406" s="18" t="s">
        <v>56</v>
      </c>
      <c r="D406" s="18" t="s">
        <v>3007</v>
      </c>
      <c r="E406" s="18" t="s">
        <v>3008</v>
      </c>
      <c r="F406" s="18" t="s">
        <v>2961</v>
      </c>
      <c r="G406" s="18" t="s">
        <v>60</v>
      </c>
      <c r="H406" s="18" t="s">
        <v>84</v>
      </c>
      <c r="I406" s="18" t="s">
        <v>3009</v>
      </c>
      <c r="J406" s="18" t="s">
        <v>3010</v>
      </c>
      <c r="K406" s="18" t="s">
        <v>84</v>
      </c>
      <c r="L406" s="19">
        <v>24050</v>
      </c>
    </row>
    <row r="407" spans="1:12" ht="18" customHeight="1">
      <c r="A407" s="16" t="s">
        <v>3011</v>
      </c>
      <c r="B407" s="17" t="s">
        <v>3012</v>
      </c>
      <c r="C407" s="18" t="s">
        <v>56</v>
      </c>
      <c r="D407" s="18" t="s">
        <v>3013</v>
      </c>
      <c r="E407" s="18" t="s">
        <v>3014</v>
      </c>
      <c r="F407" s="18" t="s">
        <v>2961</v>
      </c>
      <c r="G407" s="18" t="s">
        <v>60</v>
      </c>
      <c r="H407" s="18" t="s">
        <v>253</v>
      </c>
      <c r="I407" s="18" t="s">
        <v>3015</v>
      </c>
      <c r="J407" s="18" t="s">
        <v>3016</v>
      </c>
      <c r="K407" s="18" t="s">
        <v>1277</v>
      </c>
      <c r="L407" s="19" t="s">
        <v>1278</v>
      </c>
    </row>
    <row r="408" spans="1:12" ht="18" customHeight="1">
      <c r="A408" s="16" t="s">
        <v>3017</v>
      </c>
      <c r="B408" s="17" t="s">
        <v>3018</v>
      </c>
      <c r="C408" s="18" t="s">
        <v>56</v>
      </c>
      <c r="D408" s="18" t="s">
        <v>3019</v>
      </c>
      <c r="E408" s="18" t="s">
        <v>3020</v>
      </c>
      <c r="F408" s="18" t="s">
        <v>2961</v>
      </c>
      <c r="G408" s="18" t="s">
        <v>60</v>
      </c>
      <c r="H408" s="18" t="s">
        <v>61</v>
      </c>
      <c r="I408" s="18" t="s">
        <v>3021</v>
      </c>
      <c r="J408" s="18" t="s">
        <v>3022</v>
      </c>
      <c r="K408" s="18" t="s">
        <v>61</v>
      </c>
      <c r="L408" s="19">
        <v>20240</v>
      </c>
    </row>
    <row r="409" spans="1:12" ht="18" customHeight="1">
      <c r="A409" s="16" t="s">
        <v>3023</v>
      </c>
      <c r="B409" s="17" t="s">
        <v>3024</v>
      </c>
      <c r="C409" s="18" t="s">
        <v>56</v>
      </c>
      <c r="D409" s="18" t="s">
        <v>3025</v>
      </c>
      <c r="E409" s="18" t="s">
        <v>3026</v>
      </c>
      <c r="F409" s="18" t="s">
        <v>2961</v>
      </c>
      <c r="G409" s="18" t="s">
        <v>60</v>
      </c>
      <c r="H409" s="18" t="s">
        <v>1186</v>
      </c>
      <c r="I409" s="18" t="s">
        <v>3027</v>
      </c>
      <c r="J409" s="18" t="s">
        <v>3028</v>
      </c>
      <c r="K409" s="18" t="s">
        <v>1189</v>
      </c>
      <c r="L409" s="19">
        <v>58020</v>
      </c>
    </row>
    <row r="410" spans="1:12" ht="18" customHeight="1">
      <c r="A410" s="16" t="s">
        <v>3029</v>
      </c>
      <c r="B410" s="17" t="s">
        <v>3030</v>
      </c>
      <c r="C410" s="18" t="s">
        <v>56</v>
      </c>
      <c r="D410" s="18" t="s">
        <v>3031</v>
      </c>
      <c r="E410" s="18" t="s">
        <v>3032</v>
      </c>
      <c r="F410" s="18" t="s">
        <v>2961</v>
      </c>
      <c r="G410" s="18" t="s">
        <v>60</v>
      </c>
      <c r="H410" s="18" t="s">
        <v>68</v>
      </c>
      <c r="I410" s="18" t="s">
        <v>3033</v>
      </c>
      <c r="J410" s="18" t="s">
        <v>3034</v>
      </c>
      <c r="K410" s="18" t="s">
        <v>2314</v>
      </c>
      <c r="L410" s="19">
        <v>22508</v>
      </c>
    </row>
    <row r="411" spans="1:12" ht="18" customHeight="1">
      <c r="A411" s="16" t="s">
        <v>3035</v>
      </c>
      <c r="B411" s="17" t="s">
        <v>3036</v>
      </c>
      <c r="C411" s="18" t="s">
        <v>56</v>
      </c>
      <c r="D411" s="18" t="s">
        <v>3037</v>
      </c>
      <c r="E411" s="18" t="s">
        <v>3038</v>
      </c>
      <c r="F411" s="18" t="s">
        <v>2961</v>
      </c>
      <c r="G411" s="18" t="s">
        <v>60</v>
      </c>
      <c r="H411" s="18" t="s">
        <v>136</v>
      </c>
      <c r="I411" s="18" t="s">
        <v>3039</v>
      </c>
      <c r="J411" s="18" t="s">
        <v>3040</v>
      </c>
      <c r="K411" s="18" t="s">
        <v>139</v>
      </c>
      <c r="L411" s="19">
        <v>39090</v>
      </c>
    </row>
    <row r="412" spans="1:12" ht="18" customHeight="1">
      <c r="A412" s="16" t="s">
        <v>3041</v>
      </c>
      <c r="B412" s="17" t="s">
        <v>3042</v>
      </c>
      <c r="C412" s="18" t="s">
        <v>56</v>
      </c>
      <c r="D412" s="18" t="s">
        <v>3043</v>
      </c>
      <c r="E412" s="18" t="s">
        <v>3044</v>
      </c>
      <c r="F412" s="18" t="s">
        <v>2961</v>
      </c>
      <c r="G412" s="18" t="s">
        <v>60</v>
      </c>
      <c r="H412" s="18" t="s">
        <v>253</v>
      </c>
      <c r="I412" s="18" t="s">
        <v>3045</v>
      </c>
      <c r="J412" s="18" t="s">
        <v>3046</v>
      </c>
      <c r="K412" s="18" t="s">
        <v>1028</v>
      </c>
      <c r="L412" s="19">
        <v>14410</v>
      </c>
    </row>
    <row r="413" spans="1:12" ht="18" customHeight="1">
      <c r="A413" s="16" t="s">
        <v>3047</v>
      </c>
      <c r="B413" s="17" t="s">
        <v>3048</v>
      </c>
      <c r="C413" s="18" t="s">
        <v>56</v>
      </c>
      <c r="D413" s="18" t="s">
        <v>3049</v>
      </c>
      <c r="E413" s="18" t="s">
        <v>3050</v>
      </c>
      <c r="F413" s="18" t="s">
        <v>2961</v>
      </c>
      <c r="G413" s="18" t="s">
        <v>60</v>
      </c>
      <c r="H413" s="18" t="s">
        <v>121</v>
      </c>
      <c r="I413" s="18" t="s">
        <v>3051</v>
      </c>
      <c r="J413" s="18" t="s">
        <v>1105</v>
      </c>
      <c r="K413" s="18" t="s">
        <v>1106</v>
      </c>
      <c r="L413" s="19">
        <v>35030</v>
      </c>
    </row>
    <row r="414" spans="1:12" ht="18" customHeight="1">
      <c r="A414" s="16" t="s">
        <v>3052</v>
      </c>
      <c r="B414" s="17" t="s">
        <v>3053</v>
      </c>
      <c r="C414" s="18" t="s">
        <v>56</v>
      </c>
      <c r="D414" s="18" t="s">
        <v>3054</v>
      </c>
      <c r="E414" s="18" t="s">
        <v>3055</v>
      </c>
      <c r="F414" s="18" t="s">
        <v>2961</v>
      </c>
      <c r="G414" s="18" t="s">
        <v>60</v>
      </c>
      <c r="H414" s="18" t="s">
        <v>253</v>
      </c>
      <c r="I414" s="18" t="s">
        <v>3056</v>
      </c>
      <c r="J414" s="18" t="s">
        <v>3057</v>
      </c>
      <c r="K414" s="18" t="s">
        <v>281</v>
      </c>
      <c r="L414" s="19" t="s">
        <v>339</v>
      </c>
    </row>
    <row r="415" spans="1:12" ht="18" customHeight="1">
      <c r="A415" s="16" t="s">
        <v>3058</v>
      </c>
      <c r="B415" s="17" t="s">
        <v>3059</v>
      </c>
      <c r="C415" s="18" t="s">
        <v>56</v>
      </c>
      <c r="D415" s="18" t="s">
        <v>3060</v>
      </c>
      <c r="E415" s="18" t="s">
        <v>3061</v>
      </c>
      <c r="F415" s="18" t="s">
        <v>2961</v>
      </c>
      <c r="G415" s="18" t="s">
        <v>60</v>
      </c>
      <c r="H415" s="18" t="s">
        <v>76</v>
      </c>
      <c r="I415" s="18" t="s">
        <v>3062</v>
      </c>
      <c r="J415" s="18" t="s">
        <v>3063</v>
      </c>
      <c r="K415" s="18" t="s">
        <v>79</v>
      </c>
      <c r="L415" s="19">
        <v>23070</v>
      </c>
    </row>
    <row r="416" spans="1:12" ht="18" customHeight="1">
      <c r="A416" s="16" t="s">
        <v>3064</v>
      </c>
      <c r="B416" s="17" t="s">
        <v>3065</v>
      </c>
      <c r="C416" s="18" t="s">
        <v>56</v>
      </c>
      <c r="D416" s="18" t="s">
        <v>3066</v>
      </c>
      <c r="E416" s="18" t="s">
        <v>3067</v>
      </c>
      <c r="F416" s="18" t="s">
        <v>2961</v>
      </c>
      <c r="G416" s="18" t="s">
        <v>60</v>
      </c>
      <c r="H416" s="18" t="s">
        <v>128</v>
      </c>
      <c r="I416" s="18" t="s">
        <v>3068</v>
      </c>
      <c r="J416" s="18" t="s">
        <v>3069</v>
      </c>
      <c r="K416" s="18" t="s">
        <v>3070</v>
      </c>
      <c r="L416" s="19">
        <v>37520</v>
      </c>
    </row>
    <row r="417" spans="1:12" ht="18" customHeight="1">
      <c r="A417" s="16" t="s">
        <v>3071</v>
      </c>
      <c r="B417" s="17" t="s">
        <v>3072</v>
      </c>
      <c r="C417" s="18" t="s">
        <v>56</v>
      </c>
      <c r="D417" s="18" t="s">
        <v>3073</v>
      </c>
      <c r="E417" s="18" t="s">
        <v>3074</v>
      </c>
      <c r="F417" s="18" t="s">
        <v>2961</v>
      </c>
      <c r="G417" s="18" t="s">
        <v>60</v>
      </c>
      <c r="H417" s="18" t="s">
        <v>205</v>
      </c>
      <c r="I417" s="18" t="s">
        <v>3075</v>
      </c>
      <c r="J417" s="18" t="s">
        <v>3076</v>
      </c>
      <c r="K417" s="18" t="s">
        <v>208</v>
      </c>
      <c r="L417" s="19">
        <v>86190</v>
      </c>
    </row>
    <row r="418" spans="1:12" ht="18" customHeight="1">
      <c r="A418" s="16" t="s">
        <v>3077</v>
      </c>
      <c r="B418" s="17" t="s">
        <v>3078</v>
      </c>
      <c r="C418" s="18" t="s">
        <v>56</v>
      </c>
      <c r="D418" s="18" t="s">
        <v>3079</v>
      </c>
      <c r="E418" s="18" t="s">
        <v>3080</v>
      </c>
      <c r="F418" s="18" t="s">
        <v>2961</v>
      </c>
      <c r="G418" s="18" t="s">
        <v>60</v>
      </c>
      <c r="H418" s="18" t="s">
        <v>213</v>
      </c>
      <c r="I418" s="18" t="s">
        <v>3081</v>
      </c>
      <c r="J418" s="18" t="s">
        <v>3082</v>
      </c>
      <c r="K418" s="18" t="s">
        <v>1327</v>
      </c>
      <c r="L418" s="19">
        <v>88050</v>
      </c>
    </row>
    <row r="419" spans="1:12" ht="18" customHeight="1">
      <c r="A419" s="16" t="s">
        <v>3083</v>
      </c>
      <c r="B419" s="17" t="s">
        <v>3084</v>
      </c>
      <c r="C419" s="18" t="s">
        <v>56</v>
      </c>
      <c r="D419" s="18" t="s">
        <v>3085</v>
      </c>
      <c r="E419" s="18" t="s">
        <v>3086</v>
      </c>
      <c r="F419" s="18" t="s">
        <v>2961</v>
      </c>
      <c r="G419" s="18" t="s">
        <v>60</v>
      </c>
      <c r="H419" s="18" t="s">
        <v>1186</v>
      </c>
      <c r="I419" s="18" t="s">
        <v>3087</v>
      </c>
      <c r="J419" s="18" t="s">
        <v>3088</v>
      </c>
      <c r="K419" s="18" t="s">
        <v>3089</v>
      </c>
      <c r="L419" s="19">
        <v>60950</v>
      </c>
    </row>
    <row r="420" spans="1:12" ht="18" customHeight="1">
      <c r="A420" s="16" t="s">
        <v>3090</v>
      </c>
      <c r="B420" s="17" t="s">
        <v>3091</v>
      </c>
      <c r="C420" s="18" t="s">
        <v>56</v>
      </c>
      <c r="D420" s="18" t="s">
        <v>3092</v>
      </c>
      <c r="E420" s="18" t="s">
        <v>3093</v>
      </c>
      <c r="F420" s="18" t="s">
        <v>2961</v>
      </c>
      <c r="G420" s="18" t="s">
        <v>60</v>
      </c>
      <c r="H420" s="18" t="s">
        <v>253</v>
      </c>
      <c r="I420" s="18" t="s">
        <v>3094</v>
      </c>
      <c r="J420" s="18" t="s">
        <v>3095</v>
      </c>
      <c r="K420" s="18" t="s">
        <v>281</v>
      </c>
      <c r="L420" s="19" t="s">
        <v>339</v>
      </c>
    </row>
    <row r="421" spans="1:12" ht="18" customHeight="1">
      <c r="A421" s="16" t="s">
        <v>3096</v>
      </c>
      <c r="B421" s="17" t="s">
        <v>3097</v>
      </c>
      <c r="C421" s="18" t="s">
        <v>56</v>
      </c>
      <c r="D421" s="18" t="s">
        <v>3098</v>
      </c>
      <c r="E421" s="18" t="s">
        <v>3099</v>
      </c>
      <c r="F421" s="18" t="s">
        <v>2961</v>
      </c>
      <c r="G421" s="18" t="s">
        <v>60</v>
      </c>
      <c r="H421" s="18" t="s">
        <v>197</v>
      </c>
      <c r="I421" s="18" t="s">
        <v>3100</v>
      </c>
      <c r="J421" s="18" t="s">
        <v>3101</v>
      </c>
      <c r="K421" s="18" t="s">
        <v>200</v>
      </c>
      <c r="L421" s="19">
        <v>83190</v>
      </c>
    </row>
    <row r="422" spans="1:12" ht="18" customHeight="1">
      <c r="A422" s="16" t="s">
        <v>3102</v>
      </c>
      <c r="B422" s="17" t="s">
        <v>3103</v>
      </c>
      <c r="C422" s="18" t="s">
        <v>56</v>
      </c>
      <c r="D422" s="18" t="s">
        <v>3104</v>
      </c>
      <c r="E422" s="18" t="s">
        <v>3105</v>
      </c>
      <c r="F422" s="18" t="s">
        <v>2961</v>
      </c>
      <c r="G422" s="18" t="s">
        <v>60</v>
      </c>
      <c r="H422" s="18" t="s">
        <v>106</v>
      </c>
      <c r="I422" s="18" t="s">
        <v>3106</v>
      </c>
      <c r="J422" s="18" t="s">
        <v>3107</v>
      </c>
      <c r="K422" s="18" t="s">
        <v>289</v>
      </c>
      <c r="L422" s="19">
        <v>27268</v>
      </c>
    </row>
    <row r="423" spans="1:12" ht="18" customHeight="1">
      <c r="A423" s="16" t="s">
        <v>3108</v>
      </c>
      <c r="B423" s="17" t="s">
        <v>3109</v>
      </c>
      <c r="C423" s="18" t="s">
        <v>56</v>
      </c>
      <c r="D423" s="18" t="s">
        <v>3110</v>
      </c>
      <c r="E423" s="18" t="s">
        <v>3111</v>
      </c>
      <c r="F423" s="18" t="s">
        <v>2961</v>
      </c>
      <c r="G423" s="18" t="s">
        <v>60</v>
      </c>
      <c r="H423" s="18" t="s">
        <v>114</v>
      </c>
      <c r="I423" s="18" t="s">
        <v>3112</v>
      </c>
      <c r="J423" s="18" t="s">
        <v>3113</v>
      </c>
      <c r="K423" s="18" t="s">
        <v>114</v>
      </c>
      <c r="L423" s="19">
        <v>28219</v>
      </c>
    </row>
    <row r="424" spans="1:12" ht="18" customHeight="1">
      <c r="A424" s="16" t="s">
        <v>3114</v>
      </c>
      <c r="B424" s="17" t="s">
        <v>3115</v>
      </c>
      <c r="C424" s="18" t="s">
        <v>56</v>
      </c>
      <c r="D424" s="18" t="s">
        <v>3116</v>
      </c>
      <c r="E424" s="18" t="s">
        <v>3117</v>
      </c>
      <c r="F424" s="18" t="s">
        <v>2961</v>
      </c>
      <c r="G424" s="18" t="s">
        <v>60</v>
      </c>
      <c r="H424" s="18" t="s">
        <v>294</v>
      </c>
      <c r="I424" s="18" t="s">
        <v>3118</v>
      </c>
      <c r="J424" s="18" t="s">
        <v>3119</v>
      </c>
      <c r="K424" s="18" t="s">
        <v>2558</v>
      </c>
      <c r="L424" s="19">
        <v>57740</v>
      </c>
    </row>
    <row r="425" spans="1:12" ht="18" customHeight="1">
      <c r="A425" s="16" t="s">
        <v>3120</v>
      </c>
      <c r="B425" s="17" t="s">
        <v>3121</v>
      </c>
      <c r="C425" s="18" t="s">
        <v>56</v>
      </c>
      <c r="D425" s="18" t="s">
        <v>3122</v>
      </c>
      <c r="E425" s="18" t="s">
        <v>3123</v>
      </c>
      <c r="F425" s="18" t="s">
        <v>2961</v>
      </c>
      <c r="G425" s="18" t="s">
        <v>60</v>
      </c>
      <c r="H425" s="18" t="s">
        <v>91</v>
      </c>
      <c r="I425" s="18" t="s">
        <v>3124</v>
      </c>
      <c r="J425" s="18" t="s">
        <v>3125</v>
      </c>
      <c r="K425" s="18" t="s">
        <v>1518</v>
      </c>
      <c r="L425" s="19">
        <v>30700</v>
      </c>
    </row>
    <row r="426" spans="1:12" ht="18" customHeight="1">
      <c r="A426" s="16" t="s">
        <v>3126</v>
      </c>
      <c r="B426" s="17" t="s">
        <v>3127</v>
      </c>
      <c r="C426" s="18" t="s">
        <v>56</v>
      </c>
      <c r="D426" s="18" t="s">
        <v>3128</v>
      </c>
      <c r="E426" s="18" t="s">
        <v>3129</v>
      </c>
      <c r="F426" s="18" t="s">
        <v>2961</v>
      </c>
      <c r="G426" s="18" t="s">
        <v>60</v>
      </c>
      <c r="H426" s="18" t="s">
        <v>128</v>
      </c>
      <c r="I426" s="18" t="s">
        <v>3130</v>
      </c>
      <c r="J426" s="18" t="s">
        <v>3131</v>
      </c>
      <c r="K426" s="18" t="s">
        <v>1604</v>
      </c>
      <c r="L426" s="19">
        <v>36570</v>
      </c>
    </row>
    <row r="427" spans="1:12" ht="18" customHeight="1">
      <c r="A427" s="16" t="s">
        <v>3132</v>
      </c>
      <c r="B427" s="17" t="s">
        <v>3133</v>
      </c>
      <c r="C427" s="18" t="s">
        <v>56</v>
      </c>
      <c r="D427" s="18" t="s">
        <v>3134</v>
      </c>
      <c r="E427" s="18" t="s">
        <v>3135</v>
      </c>
      <c r="F427" s="18" t="s">
        <v>3136</v>
      </c>
      <c r="G427" s="18" t="s">
        <v>60</v>
      </c>
      <c r="H427" s="18" t="s">
        <v>128</v>
      </c>
      <c r="I427" s="18" t="s">
        <v>3137</v>
      </c>
      <c r="J427" s="18" t="s">
        <v>3138</v>
      </c>
      <c r="K427" s="18" t="s">
        <v>128</v>
      </c>
      <c r="L427" s="19">
        <v>36094</v>
      </c>
    </row>
    <row r="428" spans="1:12" ht="18" customHeight="1">
      <c r="A428" s="16" t="s">
        <v>3139</v>
      </c>
      <c r="B428" s="17" t="s">
        <v>3140</v>
      </c>
      <c r="C428" s="18" t="s">
        <v>56</v>
      </c>
      <c r="D428" s="18" t="s">
        <v>3141</v>
      </c>
      <c r="E428" s="18" t="s">
        <v>3142</v>
      </c>
      <c r="F428" s="18" t="s">
        <v>2961</v>
      </c>
      <c r="G428" s="18" t="s">
        <v>60</v>
      </c>
      <c r="H428" s="18" t="s">
        <v>213</v>
      </c>
      <c r="I428" s="18" t="s">
        <v>3143</v>
      </c>
      <c r="J428" s="18" t="s">
        <v>3144</v>
      </c>
      <c r="K428" s="18" t="s">
        <v>1489</v>
      </c>
      <c r="L428" s="19">
        <v>87351</v>
      </c>
    </row>
    <row r="429" spans="1:12" ht="18" customHeight="1">
      <c r="A429" s="16" t="s">
        <v>3145</v>
      </c>
      <c r="B429" s="17" t="s">
        <v>3146</v>
      </c>
      <c r="C429" s="18" t="s">
        <v>56</v>
      </c>
      <c r="D429" s="18" t="s">
        <v>3147</v>
      </c>
      <c r="E429" s="18" t="s">
        <v>3148</v>
      </c>
      <c r="F429" s="18" t="s">
        <v>2961</v>
      </c>
      <c r="G429" s="18" t="s">
        <v>60</v>
      </c>
      <c r="H429" s="18" t="s">
        <v>197</v>
      </c>
      <c r="I429" s="18" t="s">
        <v>3149</v>
      </c>
      <c r="J429" s="18" t="s">
        <v>3150</v>
      </c>
      <c r="K429" s="18" t="s">
        <v>200</v>
      </c>
      <c r="L429" s="19">
        <v>85850</v>
      </c>
    </row>
    <row r="430" spans="1:12" ht="18" customHeight="1">
      <c r="A430" s="16" t="s">
        <v>3151</v>
      </c>
      <c r="B430" s="17" t="s">
        <v>3152</v>
      </c>
      <c r="C430" s="18" t="s">
        <v>56</v>
      </c>
      <c r="D430" s="18" t="s">
        <v>3153</v>
      </c>
      <c r="E430" s="18" t="s">
        <v>3154</v>
      </c>
      <c r="F430" s="18" t="s">
        <v>2961</v>
      </c>
      <c r="G430" s="18" t="s">
        <v>60</v>
      </c>
      <c r="H430" s="18" t="s">
        <v>351</v>
      </c>
      <c r="I430" s="18" t="s">
        <v>3155</v>
      </c>
      <c r="J430" s="18" t="s">
        <v>3156</v>
      </c>
      <c r="K430" s="18" t="s">
        <v>1021</v>
      </c>
      <c r="L430" s="19">
        <v>62740</v>
      </c>
    </row>
    <row r="431" spans="1:12" ht="18" customHeight="1">
      <c r="A431" s="16" t="s">
        <v>3157</v>
      </c>
      <c r="B431" s="17" t="s">
        <v>3158</v>
      </c>
      <c r="C431" s="18" t="s">
        <v>56</v>
      </c>
      <c r="D431" s="18" t="s">
        <v>3159</v>
      </c>
      <c r="E431" s="18" t="s">
        <v>3160</v>
      </c>
      <c r="F431" s="18" t="s">
        <v>2961</v>
      </c>
      <c r="G431" s="18" t="s">
        <v>60</v>
      </c>
      <c r="H431" s="18" t="s">
        <v>228</v>
      </c>
      <c r="I431" s="18" t="s">
        <v>3161</v>
      </c>
      <c r="J431" s="18" t="s">
        <v>3162</v>
      </c>
      <c r="K431" s="18" t="s">
        <v>1534</v>
      </c>
      <c r="L431" s="19">
        <v>99020</v>
      </c>
    </row>
    <row r="432" spans="1:12" ht="18" customHeight="1">
      <c r="A432" s="16" t="s">
        <v>3163</v>
      </c>
      <c r="B432" s="17" t="s">
        <v>3164</v>
      </c>
      <c r="C432" s="18" t="s">
        <v>56</v>
      </c>
      <c r="D432" s="18" t="s">
        <v>3165</v>
      </c>
      <c r="E432" s="18" t="s">
        <v>3166</v>
      </c>
      <c r="F432" s="18" t="s">
        <v>2961</v>
      </c>
      <c r="G432" s="18" t="s">
        <v>60</v>
      </c>
      <c r="H432" s="18" t="s">
        <v>253</v>
      </c>
      <c r="I432" s="18" t="s">
        <v>3167</v>
      </c>
      <c r="J432" s="18" t="s">
        <v>3168</v>
      </c>
      <c r="K432" s="18" t="s">
        <v>3169</v>
      </c>
      <c r="L432" s="19">
        <v>10400</v>
      </c>
    </row>
    <row r="433" spans="1:12" ht="18" customHeight="1">
      <c r="A433" s="16" t="s">
        <v>3170</v>
      </c>
      <c r="B433" s="17" t="s">
        <v>3171</v>
      </c>
      <c r="C433" s="18" t="s">
        <v>56</v>
      </c>
      <c r="D433" s="18" t="s">
        <v>3172</v>
      </c>
      <c r="E433" s="18" t="s">
        <v>3173</v>
      </c>
      <c r="F433" s="18" t="s">
        <v>2961</v>
      </c>
      <c r="G433" s="18" t="s">
        <v>60</v>
      </c>
      <c r="H433" s="18" t="s">
        <v>253</v>
      </c>
      <c r="I433" s="18" t="s">
        <v>3174</v>
      </c>
      <c r="J433" s="18" t="s">
        <v>3175</v>
      </c>
      <c r="K433" s="18" t="s">
        <v>1028</v>
      </c>
      <c r="L433" s="19">
        <v>14070</v>
      </c>
    </row>
    <row r="434" spans="1:12" ht="18" customHeight="1">
      <c r="A434" s="16" t="s">
        <v>3176</v>
      </c>
      <c r="B434" s="17" t="s">
        <v>3177</v>
      </c>
      <c r="C434" s="18" t="s">
        <v>56</v>
      </c>
      <c r="D434" s="18" t="s">
        <v>3178</v>
      </c>
      <c r="E434" s="18" t="s">
        <v>3179</v>
      </c>
      <c r="F434" s="18" t="s">
        <v>2961</v>
      </c>
      <c r="G434" s="18" t="s">
        <v>60</v>
      </c>
      <c r="H434" s="18" t="s">
        <v>294</v>
      </c>
      <c r="I434" s="18" t="s">
        <v>3180</v>
      </c>
      <c r="J434" s="18" t="s">
        <v>3181</v>
      </c>
      <c r="K434" s="18" t="s">
        <v>2558</v>
      </c>
      <c r="L434" s="19">
        <v>57600</v>
      </c>
    </row>
    <row r="435" spans="1:12" ht="18" customHeight="1">
      <c r="A435" s="16" t="s">
        <v>3182</v>
      </c>
      <c r="B435" s="17"/>
      <c r="C435" s="18" t="s">
        <v>56</v>
      </c>
      <c r="D435" s="18" t="s">
        <v>3183</v>
      </c>
      <c r="E435" s="18" t="s">
        <v>3184</v>
      </c>
      <c r="F435" s="18" t="s">
        <v>2961</v>
      </c>
      <c r="G435" s="18" t="s">
        <v>60</v>
      </c>
      <c r="H435" s="18" t="s">
        <v>91</v>
      </c>
      <c r="I435" s="18" t="s">
        <v>3185</v>
      </c>
      <c r="J435" s="18" t="s">
        <v>3186</v>
      </c>
      <c r="K435" s="18" t="s">
        <v>94</v>
      </c>
      <c r="L435" s="19">
        <v>29030</v>
      </c>
    </row>
    <row r="436" spans="1:12" ht="18" customHeight="1">
      <c r="A436" s="16" t="s">
        <v>3187</v>
      </c>
      <c r="B436" s="17" t="s">
        <v>3188</v>
      </c>
      <c r="C436" s="18" t="s">
        <v>56</v>
      </c>
      <c r="D436" s="18" t="s">
        <v>3189</v>
      </c>
      <c r="E436" s="18" t="s">
        <v>3190</v>
      </c>
      <c r="F436" s="18" t="s">
        <v>2961</v>
      </c>
      <c r="G436" s="18" t="s">
        <v>60</v>
      </c>
      <c r="H436" s="18" t="s">
        <v>504</v>
      </c>
      <c r="I436" s="18" t="s">
        <v>3191</v>
      </c>
      <c r="J436" s="18" t="s">
        <v>3192</v>
      </c>
      <c r="K436" s="18" t="s">
        <v>894</v>
      </c>
      <c r="L436" s="19">
        <v>80140</v>
      </c>
    </row>
    <row r="437" spans="1:12" ht="18" customHeight="1">
      <c r="A437" s="16" t="s">
        <v>3193</v>
      </c>
      <c r="B437" s="17" t="s">
        <v>3194</v>
      </c>
      <c r="C437" s="18" t="s">
        <v>56</v>
      </c>
      <c r="D437" s="18" t="s">
        <v>3195</v>
      </c>
      <c r="E437" s="18" t="s">
        <v>3196</v>
      </c>
      <c r="F437" s="18" t="s">
        <v>2961</v>
      </c>
      <c r="G437" s="18" t="s">
        <v>60</v>
      </c>
      <c r="H437" s="18" t="s">
        <v>253</v>
      </c>
      <c r="I437" s="18" t="s">
        <v>3197</v>
      </c>
      <c r="J437" s="18" t="s">
        <v>3198</v>
      </c>
      <c r="K437" s="18" t="s">
        <v>338</v>
      </c>
      <c r="L437" s="19" t="s">
        <v>3199</v>
      </c>
    </row>
    <row r="438" spans="1:12" ht="18" customHeight="1">
      <c r="A438" s="16" t="s">
        <v>3200</v>
      </c>
      <c r="B438" s="17" t="s">
        <v>3201</v>
      </c>
      <c r="C438" s="18" t="s">
        <v>56</v>
      </c>
      <c r="D438" s="18" t="s">
        <v>3202</v>
      </c>
      <c r="E438" s="18" t="s">
        <v>3203</v>
      </c>
      <c r="F438" s="18" t="s">
        <v>2961</v>
      </c>
      <c r="G438" s="18" t="s">
        <v>60</v>
      </c>
      <c r="H438" s="18" t="s">
        <v>253</v>
      </c>
      <c r="I438" s="18" t="s">
        <v>3204</v>
      </c>
      <c r="J438" s="18" t="s">
        <v>3205</v>
      </c>
      <c r="K438" s="18" t="s">
        <v>281</v>
      </c>
      <c r="L438" s="19" t="s">
        <v>3206</v>
      </c>
    </row>
    <row r="439" spans="1:12" ht="18" customHeight="1">
      <c r="A439" s="16" t="s">
        <v>3207</v>
      </c>
      <c r="B439" s="17" t="s">
        <v>3208</v>
      </c>
      <c r="C439" s="18" t="s">
        <v>56</v>
      </c>
      <c r="D439" s="18" t="s">
        <v>3209</v>
      </c>
      <c r="E439" s="18" t="s">
        <v>3210</v>
      </c>
      <c r="F439" s="18" t="s">
        <v>2961</v>
      </c>
      <c r="G439" s="18" t="s">
        <v>60</v>
      </c>
      <c r="H439" s="18" t="s">
        <v>253</v>
      </c>
      <c r="I439" s="18" t="s">
        <v>3211</v>
      </c>
      <c r="J439" s="18" t="s">
        <v>3212</v>
      </c>
      <c r="K439" s="18" t="s">
        <v>1975</v>
      </c>
      <c r="L439" s="19">
        <v>15990</v>
      </c>
    </row>
    <row r="440" spans="1:12" ht="18" customHeight="1">
      <c r="A440" s="16" t="s">
        <v>3213</v>
      </c>
      <c r="B440" s="17" t="s">
        <v>3214</v>
      </c>
      <c r="C440" s="18" t="s">
        <v>56</v>
      </c>
      <c r="D440" s="18" t="s">
        <v>3215</v>
      </c>
      <c r="E440" s="18" t="s">
        <v>3216</v>
      </c>
      <c r="F440" s="18" t="s">
        <v>2961</v>
      </c>
      <c r="G440" s="18" t="s">
        <v>60</v>
      </c>
      <c r="H440" s="18" t="s">
        <v>253</v>
      </c>
      <c r="I440" s="18" t="s">
        <v>3217</v>
      </c>
      <c r="J440" s="18" t="s">
        <v>3218</v>
      </c>
      <c r="K440" s="18" t="s">
        <v>1217</v>
      </c>
      <c r="L440" s="19" t="s">
        <v>3219</v>
      </c>
    </row>
    <row r="441" spans="1:12" ht="18" customHeight="1">
      <c r="A441" s="16" t="s">
        <v>3220</v>
      </c>
      <c r="B441" s="17" t="s">
        <v>3221</v>
      </c>
      <c r="C441" s="18" t="s">
        <v>56</v>
      </c>
      <c r="D441" s="18" t="s">
        <v>3222</v>
      </c>
      <c r="E441" s="18" t="s">
        <v>3223</v>
      </c>
      <c r="F441" s="18" t="s">
        <v>2961</v>
      </c>
      <c r="G441" s="18" t="s">
        <v>60</v>
      </c>
      <c r="H441" s="18" t="s">
        <v>253</v>
      </c>
      <c r="I441" s="18" t="s">
        <v>3224</v>
      </c>
      <c r="J441" s="18" t="s">
        <v>3225</v>
      </c>
      <c r="K441" s="18" t="s">
        <v>2574</v>
      </c>
      <c r="L441" s="19">
        <v>16010</v>
      </c>
    </row>
    <row r="442" spans="1:12" ht="18" customHeight="1">
      <c r="A442" s="16" t="s">
        <v>3226</v>
      </c>
      <c r="B442" s="17" t="s">
        <v>3227</v>
      </c>
      <c r="C442" s="18" t="s">
        <v>56</v>
      </c>
      <c r="D442" s="18" t="s">
        <v>3228</v>
      </c>
      <c r="E442" s="18" t="s">
        <v>3229</v>
      </c>
      <c r="F442" s="18" t="s">
        <v>2961</v>
      </c>
      <c r="G442" s="18" t="s">
        <v>60</v>
      </c>
      <c r="H442" s="18" t="s">
        <v>253</v>
      </c>
      <c r="I442" s="18" t="s">
        <v>3230</v>
      </c>
      <c r="J442" s="18" t="s">
        <v>3231</v>
      </c>
      <c r="K442" s="18" t="s">
        <v>1060</v>
      </c>
      <c r="L442" s="19">
        <v>11500</v>
      </c>
    </row>
    <row r="443" spans="1:12" ht="18" customHeight="1">
      <c r="A443" s="16" t="s">
        <v>3232</v>
      </c>
      <c r="B443" s="17" t="s">
        <v>3233</v>
      </c>
      <c r="C443" s="18" t="s">
        <v>56</v>
      </c>
      <c r="D443" s="18" t="s">
        <v>3234</v>
      </c>
      <c r="E443" s="18" t="s">
        <v>3235</v>
      </c>
      <c r="F443" s="18" t="s">
        <v>2961</v>
      </c>
      <c r="G443" s="18" t="s">
        <v>60</v>
      </c>
      <c r="H443" s="18" t="s">
        <v>253</v>
      </c>
      <c r="I443" s="18" t="s">
        <v>3236</v>
      </c>
      <c r="J443" s="18" t="s">
        <v>3237</v>
      </c>
      <c r="K443" s="18" t="s">
        <v>1060</v>
      </c>
      <c r="L443" s="19">
        <v>11560</v>
      </c>
    </row>
    <row r="444" spans="1:12" ht="18" customHeight="1">
      <c r="A444" s="16" t="s">
        <v>3238</v>
      </c>
      <c r="B444" s="17" t="s">
        <v>3239</v>
      </c>
      <c r="C444" s="18" t="s">
        <v>56</v>
      </c>
      <c r="D444" s="18" t="s">
        <v>3240</v>
      </c>
      <c r="E444" s="18" t="s">
        <v>3241</v>
      </c>
      <c r="F444" s="18" t="s">
        <v>2961</v>
      </c>
      <c r="G444" s="18" t="s">
        <v>60</v>
      </c>
      <c r="H444" s="18" t="s">
        <v>253</v>
      </c>
      <c r="I444" s="18" t="s">
        <v>3242</v>
      </c>
      <c r="J444" s="18" t="s">
        <v>3243</v>
      </c>
      <c r="K444" s="18" t="s">
        <v>330</v>
      </c>
      <c r="L444" s="19" t="s">
        <v>331</v>
      </c>
    </row>
    <row r="445" spans="1:12" ht="18" customHeight="1">
      <c r="A445" s="16" t="s">
        <v>3244</v>
      </c>
      <c r="B445" s="17" t="s">
        <v>3245</v>
      </c>
      <c r="C445" s="18" t="s">
        <v>56</v>
      </c>
      <c r="D445" s="18" t="s">
        <v>3246</v>
      </c>
      <c r="E445" s="18" t="s">
        <v>3247</v>
      </c>
      <c r="F445" s="18" t="s">
        <v>2961</v>
      </c>
      <c r="G445" s="18" t="s">
        <v>60</v>
      </c>
      <c r="H445" s="18" t="s">
        <v>253</v>
      </c>
      <c r="I445" s="18" t="s">
        <v>3248</v>
      </c>
      <c r="J445" s="18" t="s">
        <v>3249</v>
      </c>
      <c r="K445" s="18" t="s">
        <v>1060</v>
      </c>
      <c r="L445" s="19">
        <v>11360</v>
      </c>
    </row>
    <row r="446" spans="1:12" ht="18" customHeight="1">
      <c r="A446" s="16" t="s">
        <v>3250</v>
      </c>
      <c r="B446" s="17" t="s">
        <v>3251</v>
      </c>
      <c r="C446" s="18" t="s">
        <v>56</v>
      </c>
      <c r="D446" s="18" t="s">
        <v>3252</v>
      </c>
      <c r="E446" s="18" t="s">
        <v>3253</v>
      </c>
      <c r="F446" s="18" t="s">
        <v>2961</v>
      </c>
      <c r="G446" s="18" t="s">
        <v>60</v>
      </c>
      <c r="H446" s="18" t="s">
        <v>632</v>
      </c>
      <c r="I446" s="18" t="s">
        <v>3254</v>
      </c>
      <c r="J446" s="18" t="s">
        <v>3255</v>
      </c>
      <c r="K446" s="18" t="s">
        <v>915</v>
      </c>
      <c r="L446" s="19">
        <v>44680</v>
      </c>
    </row>
    <row r="447" spans="1:12" ht="18" customHeight="1">
      <c r="A447" s="16" t="s">
        <v>3256</v>
      </c>
      <c r="B447" s="17" t="s">
        <v>3257</v>
      </c>
      <c r="C447" s="18" t="s">
        <v>56</v>
      </c>
      <c r="D447" s="18" t="s">
        <v>3258</v>
      </c>
      <c r="E447" s="18" t="s">
        <v>3259</v>
      </c>
      <c r="F447" s="18" t="s">
        <v>2961</v>
      </c>
      <c r="G447" s="18" t="s">
        <v>60</v>
      </c>
      <c r="H447" s="18" t="s">
        <v>160</v>
      </c>
      <c r="I447" s="18" t="s">
        <v>3260</v>
      </c>
      <c r="J447" s="18" t="s">
        <v>3261</v>
      </c>
      <c r="K447" s="18" t="s">
        <v>930</v>
      </c>
      <c r="L447" s="19">
        <v>64380</v>
      </c>
    </row>
    <row r="448" spans="1:12" ht="18" customHeight="1">
      <c r="A448" s="16" t="s">
        <v>3262</v>
      </c>
      <c r="B448" s="17" t="s">
        <v>3263</v>
      </c>
      <c r="C448" s="18" t="s">
        <v>56</v>
      </c>
      <c r="D448" s="18" t="s">
        <v>3264</v>
      </c>
      <c r="E448" s="18" t="s">
        <v>3265</v>
      </c>
      <c r="F448" s="18" t="s">
        <v>2961</v>
      </c>
      <c r="G448" s="18" t="s">
        <v>60</v>
      </c>
      <c r="H448" s="18" t="s">
        <v>168</v>
      </c>
      <c r="I448" s="18" t="s">
        <v>3266</v>
      </c>
      <c r="J448" s="18" t="s">
        <v>3267</v>
      </c>
      <c r="K448" s="18" t="s">
        <v>1824</v>
      </c>
      <c r="L448" s="19">
        <v>75730</v>
      </c>
    </row>
    <row r="449" spans="1:12" ht="18" customHeight="1">
      <c r="A449" s="16" t="s">
        <v>3268</v>
      </c>
      <c r="B449" s="17" t="s">
        <v>3269</v>
      </c>
      <c r="C449" s="18" t="s">
        <v>56</v>
      </c>
      <c r="D449" s="18" t="s">
        <v>3270</v>
      </c>
      <c r="E449" s="18" t="s">
        <v>3271</v>
      </c>
      <c r="F449" s="18" t="s">
        <v>2961</v>
      </c>
      <c r="G449" s="18" t="s">
        <v>60</v>
      </c>
      <c r="H449" s="18" t="s">
        <v>160</v>
      </c>
      <c r="I449" s="18" t="s">
        <v>3272</v>
      </c>
      <c r="J449" s="18" t="s">
        <v>3273</v>
      </c>
      <c r="K449" s="18" t="s">
        <v>930</v>
      </c>
      <c r="L449" s="19">
        <v>64060</v>
      </c>
    </row>
    <row r="450" spans="1:12" ht="18" customHeight="1">
      <c r="A450" s="16" t="s">
        <v>3274</v>
      </c>
      <c r="B450" s="17" t="s">
        <v>3275</v>
      </c>
      <c r="C450" s="18" t="s">
        <v>56</v>
      </c>
      <c r="D450" s="18" t="s">
        <v>3276</v>
      </c>
      <c r="E450" s="18" t="s">
        <v>3277</v>
      </c>
      <c r="F450" s="18" t="s">
        <v>2961</v>
      </c>
      <c r="G450" s="18" t="s">
        <v>60</v>
      </c>
      <c r="H450" s="18" t="s">
        <v>253</v>
      </c>
      <c r="I450" s="18" t="s">
        <v>3278</v>
      </c>
      <c r="J450" s="18" t="s">
        <v>3279</v>
      </c>
      <c r="K450" s="18" t="s">
        <v>1217</v>
      </c>
      <c r="L450" s="19" t="s">
        <v>331</v>
      </c>
    </row>
    <row r="451" spans="1:12" ht="18" customHeight="1">
      <c r="A451" s="16" t="s">
        <v>3280</v>
      </c>
      <c r="B451" s="17" t="s">
        <v>3281</v>
      </c>
      <c r="C451" s="18" t="s">
        <v>56</v>
      </c>
      <c r="D451" s="18" t="s">
        <v>3282</v>
      </c>
      <c r="E451" s="18" t="s">
        <v>3283</v>
      </c>
      <c r="F451" s="18" t="s">
        <v>2961</v>
      </c>
      <c r="G451" s="18" t="s">
        <v>60</v>
      </c>
      <c r="H451" s="18" t="s">
        <v>1153</v>
      </c>
      <c r="I451" s="18" t="s">
        <v>3284</v>
      </c>
      <c r="J451" s="18" t="s">
        <v>3285</v>
      </c>
      <c r="K451" s="18" t="s">
        <v>1153</v>
      </c>
      <c r="L451" s="19">
        <v>68020</v>
      </c>
    </row>
    <row r="452" spans="1:12" ht="18" customHeight="1">
      <c r="A452" s="16" t="s">
        <v>3286</v>
      </c>
      <c r="B452" s="17" t="s">
        <v>3287</v>
      </c>
      <c r="C452" s="18" t="s">
        <v>56</v>
      </c>
      <c r="D452" s="18" t="s">
        <v>3288</v>
      </c>
      <c r="E452" s="18" t="s">
        <v>3289</v>
      </c>
      <c r="F452" s="18" t="s">
        <v>2961</v>
      </c>
      <c r="G452" s="18" t="s">
        <v>60</v>
      </c>
      <c r="H452" s="18" t="s">
        <v>228</v>
      </c>
      <c r="I452" s="18" t="s">
        <v>3290</v>
      </c>
      <c r="J452" s="18" t="s">
        <v>3291</v>
      </c>
      <c r="K452" s="18" t="s">
        <v>163</v>
      </c>
      <c r="L452" s="19">
        <v>98604</v>
      </c>
    </row>
    <row r="453" spans="1:12" ht="18" customHeight="1">
      <c r="A453" s="16" t="s">
        <v>3292</v>
      </c>
      <c r="B453" s="17" t="s">
        <v>3293</v>
      </c>
      <c r="C453" s="18" t="s">
        <v>56</v>
      </c>
      <c r="D453" s="18" t="s">
        <v>3294</v>
      </c>
      <c r="E453" s="18" t="s">
        <v>3295</v>
      </c>
      <c r="F453" s="18" t="s">
        <v>2961</v>
      </c>
      <c r="G453" s="18" t="s">
        <v>60</v>
      </c>
      <c r="H453" s="18" t="s">
        <v>253</v>
      </c>
      <c r="I453" s="18" t="s">
        <v>3296</v>
      </c>
      <c r="J453" s="18" t="s">
        <v>3297</v>
      </c>
      <c r="K453" s="18" t="s">
        <v>1028</v>
      </c>
      <c r="L453" s="19">
        <v>14080</v>
      </c>
    </row>
    <row r="454" spans="1:12" ht="18" customHeight="1">
      <c r="A454" s="16" t="s">
        <v>3298</v>
      </c>
      <c r="B454" s="17" t="s">
        <v>3299</v>
      </c>
      <c r="C454" s="18" t="s">
        <v>56</v>
      </c>
      <c r="D454" s="18" t="s">
        <v>3300</v>
      </c>
      <c r="E454" s="18" t="s">
        <v>3301</v>
      </c>
      <c r="F454" s="18" t="s">
        <v>2961</v>
      </c>
      <c r="G454" s="18" t="s">
        <v>60</v>
      </c>
      <c r="H454" s="18" t="s">
        <v>253</v>
      </c>
      <c r="I454" s="18" t="s">
        <v>3302</v>
      </c>
      <c r="J454" s="18" t="s">
        <v>3303</v>
      </c>
      <c r="K454" s="18" t="s">
        <v>338</v>
      </c>
      <c r="L454" s="19" t="s">
        <v>3304</v>
      </c>
    </row>
    <row r="455" spans="1:12" ht="18" customHeight="1">
      <c r="A455" s="16" t="s">
        <v>3305</v>
      </c>
      <c r="B455" s="17" t="s">
        <v>3306</v>
      </c>
      <c r="C455" s="18" t="s">
        <v>56</v>
      </c>
      <c r="D455" s="18" t="s">
        <v>3307</v>
      </c>
      <c r="E455" s="18" t="s">
        <v>3308</v>
      </c>
      <c r="F455" s="18" t="s">
        <v>2961</v>
      </c>
      <c r="G455" s="18" t="s">
        <v>60</v>
      </c>
      <c r="H455" s="18" t="s">
        <v>253</v>
      </c>
      <c r="I455" s="18" t="s">
        <v>3309</v>
      </c>
      <c r="J455" s="18" t="s">
        <v>3310</v>
      </c>
      <c r="K455" s="18" t="s">
        <v>1217</v>
      </c>
      <c r="L455" s="19" t="s">
        <v>3311</v>
      </c>
    </row>
    <row r="456" spans="1:12" ht="18" customHeight="1">
      <c r="A456" s="16" t="s">
        <v>3312</v>
      </c>
      <c r="B456" s="17" t="s">
        <v>3313</v>
      </c>
      <c r="C456" s="18" t="s">
        <v>56</v>
      </c>
      <c r="D456" s="18" t="s">
        <v>3314</v>
      </c>
      <c r="E456" s="18" t="s">
        <v>3315</v>
      </c>
      <c r="F456" s="18" t="s">
        <v>2961</v>
      </c>
      <c r="G456" s="18" t="s">
        <v>60</v>
      </c>
      <c r="H456" s="18" t="s">
        <v>253</v>
      </c>
      <c r="I456" s="18" t="s">
        <v>3316</v>
      </c>
      <c r="J456" s="18" t="s">
        <v>3317</v>
      </c>
      <c r="K456" s="18" t="s">
        <v>1060</v>
      </c>
      <c r="L456" s="19">
        <v>11000</v>
      </c>
    </row>
    <row r="457" spans="1:12" ht="18" customHeight="1">
      <c r="A457" s="16" t="s">
        <v>3318</v>
      </c>
      <c r="B457" s="17" t="s">
        <v>3319</v>
      </c>
      <c r="C457" s="18" t="s">
        <v>56</v>
      </c>
      <c r="D457" s="18" t="s">
        <v>3320</v>
      </c>
      <c r="E457" s="18" t="s">
        <v>3321</v>
      </c>
      <c r="F457" s="18" t="s">
        <v>2961</v>
      </c>
      <c r="G457" s="18" t="s">
        <v>60</v>
      </c>
      <c r="H457" s="18" t="s">
        <v>351</v>
      </c>
      <c r="I457" s="18" t="s">
        <v>3322</v>
      </c>
      <c r="J457" s="18" t="s">
        <v>3323</v>
      </c>
      <c r="K457" s="18" t="s">
        <v>1047</v>
      </c>
      <c r="L457" s="19">
        <v>62000</v>
      </c>
    </row>
    <row r="458" spans="1:12" ht="18" customHeight="1">
      <c r="A458" s="16" t="s">
        <v>3324</v>
      </c>
      <c r="B458" s="17" t="s">
        <v>3325</v>
      </c>
      <c r="C458" s="18" t="s">
        <v>56</v>
      </c>
      <c r="D458" s="18" t="s">
        <v>3326</v>
      </c>
      <c r="E458" s="18" t="s">
        <v>3327</v>
      </c>
      <c r="F458" s="18" t="s">
        <v>2961</v>
      </c>
      <c r="G458" s="18" t="s">
        <v>60</v>
      </c>
      <c r="H458" s="18" t="s">
        <v>253</v>
      </c>
      <c r="I458" s="18" t="s">
        <v>3328</v>
      </c>
      <c r="J458" s="18" t="s">
        <v>3329</v>
      </c>
      <c r="K458" s="18" t="s">
        <v>1975</v>
      </c>
      <c r="L458" s="19" t="s">
        <v>2261</v>
      </c>
    </row>
    <row r="459" spans="1:12" ht="18" customHeight="1">
      <c r="A459" s="16" t="s">
        <v>3330</v>
      </c>
      <c r="B459" s="17" t="s">
        <v>3331</v>
      </c>
      <c r="C459" s="18" t="s">
        <v>56</v>
      </c>
      <c r="D459" s="18" t="s">
        <v>3332</v>
      </c>
      <c r="E459" s="18" t="s">
        <v>3333</v>
      </c>
      <c r="F459" s="18" t="s">
        <v>2961</v>
      </c>
      <c r="G459" s="18" t="s">
        <v>60</v>
      </c>
      <c r="H459" s="18" t="s">
        <v>632</v>
      </c>
      <c r="I459" s="18" t="s">
        <v>3334</v>
      </c>
      <c r="J459" s="18" t="s">
        <v>3335</v>
      </c>
      <c r="K459" s="18" t="s">
        <v>632</v>
      </c>
      <c r="L459" s="19">
        <v>44100</v>
      </c>
    </row>
    <row r="460" spans="1:12" ht="18" customHeight="1">
      <c r="A460" s="16" t="s">
        <v>3336</v>
      </c>
      <c r="B460" s="17" t="s">
        <v>3337</v>
      </c>
      <c r="C460" s="18" t="s">
        <v>56</v>
      </c>
      <c r="D460" s="18" t="s">
        <v>3338</v>
      </c>
      <c r="E460" s="18" t="s">
        <v>3339</v>
      </c>
      <c r="F460" s="18" t="s">
        <v>2961</v>
      </c>
      <c r="G460" s="18" t="s">
        <v>60</v>
      </c>
      <c r="H460" s="18" t="s">
        <v>221</v>
      </c>
      <c r="I460" s="18" t="s">
        <v>3340</v>
      </c>
      <c r="J460" s="18" t="s">
        <v>3341</v>
      </c>
      <c r="K460" s="18" t="s">
        <v>221</v>
      </c>
      <c r="L460" s="19">
        <v>90090</v>
      </c>
    </row>
    <row r="461" spans="1:12" ht="18" customHeight="1">
      <c r="A461" s="16" t="s">
        <v>3342</v>
      </c>
      <c r="B461" s="17" t="s">
        <v>3343</v>
      </c>
      <c r="C461" s="18" t="s">
        <v>56</v>
      </c>
      <c r="D461" s="18" t="s">
        <v>3344</v>
      </c>
      <c r="E461" s="18" t="s">
        <v>3345</v>
      </c>
      <c r="F461" s="18" t="s">
        <v>2961</v>
      </c>
      <c r="G461" s="18" t="s">
        <v>60</v>
      </c>
      <c r="H461" s="18" t="s">
        <v>99</v>
      </c>
      <c r="I461" s="18" t="s">
        <v>3346</v>
      </c>
      <c r="J461" s="18" t="s">
        <v>3347</v>
      </c>
      <c r="K461" s="18" t="s">
        <v>2013</v>
      </c>
      <c r="L461" s="19">
        <v>32300</v>
      </c>
    </row>
    <row r="462" spans="1:12" ht="18" customHeight="1">
      <c r="A462" s="16" t="s">
        <v>3348</v>
      </c>
      <c r="B462" s="17" t="s">
        <v>3349</v>
      </c>
      <c r="C462" s="18" t="s">
        <v>56</v>
      </c>
      <c r="D462" s="18" t="s">
        <v>3350</v>
      </c>
      <c r="E462" s="18" t="s">
        <v>3351</v>
      </c>
      <c r="F462" s="18" t="s">
        <v>2961</v>
      </c>
      <c r="G462" s="18" t="s">
        <v>60</v>
      </c>
      <c r="H462" s="18" t="s">
        <v>504</v>
      </c>
      <c r="I462" s="18" t="s">
        <v>3352</v>
      </c>
      <c r="J462" s="18" t="s">
        <v>3353</v>
      </c>
      <c r="K462" s="18" t="s">
        <v>894</v>
      </c>
      <c r="L462" s="19">
        <v>80230</v>
      </c>
    </row>
    <row r="463" spans="1:12" ht="18" customHeight="1">
      <c r="A463" s="16" t="s">
        <v>3354</v>
      </c>
      <c r="B463" s="17" t="s">
        <v>3355</v>
      </c>
      <c r="C463" s="18" t="s">
        <v>56</v>
      </c>
      <c r="D463" s="18" t="s">
        <v>3356</v>
      </c>
      <c r="E463" s="18" t="s">
        <v>3357</v>
      </c>
      <c r="F463" s="18" t="s">
        <v>2961</v>
      </c>
      <c r="G463" s="18" t="s">
        <v>60</v>
      </c>
      <c r="H463" s="18" t="s">
        <v>121</v>
      </c>
      <c r="I463" s="18" t="s">
        <v>3358</v>
      </c>
      <c r="J463" s="18" t="s">
        <v>3359</v>
      </c>
      <c r="K463" s="18" t="s">
        <v>121</v>
      </c>
      <c r="L463" s="19">
        <v>34180</v>
      </c>
    </row>
    <row r="464" spans="1:12" ht="18" customHeight="1">
      <c r="A464" s="16" t="s">
        <v>3360</v>
      </c>
      <c r="B464" s="17" t="s">
        <v>3361</v>
      </c>
      <c r="C464" s="18" t="s">
        <v>56</v>
      </c>
      <c r="D464" s="18" t="s">
        <v>3362</v>
      </c>
      <c r="E464" s="18" t="s">
        <v>3363</v>
      </c>
      <c r="F464" s="18" t="s">
        <v>2961</v>
      </c>
      <c r="G464" s="18" t="s">
        <v>60</v>
      </c>
      <c r="H464" s="18" t="s">
        <v>190</v>
      </c>
      <c r="I464" s="18" t="s">
        <v>3364</v>
      </c>
      <c r="J464" s="18" t="s">
        <v>3365</v>
      </c>
      <c r="K464" s="18" t="s">
        <v>190</v>
      </c>
      <c r="L464" s="19">
        <v>78280</v>
      </c>
    </row>
    <row r="465" spans="1:12" ht="18" customHeight="1">
      <c r="A465" s="16" t="s">
        <v>3366</v>
      </c>
      <c r="B465" s="17" t="s">
        <v>3367</v>
      </c>
      <c r="C465" s="18" t="s">
        <v>56</v>
      </c>
      <c r="D465" s="18" t="s">
        <v>3368</v>
      </c>
      <c r="E465" s="18" t="s">
        <v>3369</v>
      </c>
      <c r="F465" s="18" t="s">
        <v>2961</v>
      </c>
      <c r="G465" s="18" t="s">
        <v>60</v>
      </c>
      <c r="H465" s="18" t="s">
        <v>91</v>
      </c>
      <c r="I465" s="18" t="s">
        <v>3370</v>
      </c>
      <c r="J465" s="18" t="s">
        <v>3371</v>
      </c>
      <c r="K465" s="18" t="s">
        <v>94</v>
      </c>
      <c r="L465" s="19">
        <v>29070</v>
      </c>
    </row>
    <row r="466" spans="1:12" ht="18" customHeight="1">
      <c r="A466" s="16" t="s">
        <v>3372</v>
      </c>
      <c r="B466" s="17" t="s">
        <v>3373</v>
      </c>
      <c r="C466" s="18" t="s">
        <v>56</v>
      </c>
      <c r="D466" s="18" t="s">
        <v>3374</v>
      </c>
      <c r="E466" s="18" t="s">
        <v>3375</v>
      </c>
      <c r="F466" s="18" t="s">
        <v>2961</v>
      </c>
      <c r="G466" s="18" t="s">
        <v>60</v>
      </c>
      <c r="H466" s="18" t="s">
        <v>144</v>
      </c>
      <c r="I466" s="18" t="s">
        <v>3376</v>
      </c>
      <c r="J466" s="18" t="s">
        <v>3377</v>
      </c>
      <c r="K466" s="18" t="s">
        <v>147</v>
      </c>
      <c r="L466" s="19">
        <v>97000</v>
      </c>
    </row>
    <row r="467" spans="1:12" ht="18" customHeight="1">
      <c r="A467" s="16" t="s">
        <v>3378</v>
      </c>
      <c r="B467" s="17" t="s">
        <v>3379</v>
      </c>
      <c r="C467" s="18" t="s">
        <v>56</v>
      </c>
      <c r="D467" s="18" t="s">
        <v>3380</v>
      </c>
      <c r="E467" s="18" t="s">
        <v>3381</v>
      </c>
      <c r="F467" s="18" t="s">
        <v>2961</v>
      </c>
      <c r="G467" s="18" t="s">
        <v>60</v>
      </c>
      <c r="H467" s="18" t="s">
        <v>253</v>
      </c>
      <c r="I467" s="18" t="s">
        <v>3382</v>
      </c>
      <c r="J467" s="18" t="s">
        <v>3383</v>
      </c>
      <c r="K467" s="18" t="s">
        <v>330</v>
      </c>
      <c r="L467" s="19" t="s">
        <v>3384</v>
      </c>
    </row>
    <row r="468" spans="1:12" ht="18" customHeight="1">
      <c r="A468" s="16" t="s">
        <v>3385</v>
      </c>
      <c r="B468" s="17" t="s">
        <v>3386</v>
      </c>
      <c r="C468" s="18" t="s">
        <v>56</v>
      </c>
      <c r="D468" s="18" t="s">
        <v>3387</v>
      </c>
      <c r="E468" s="18" t="s">
        <v>3388</v>
      </c>
      <c r="F468" s="18" t="s">
        <v>2961</v>
      </c>
      <c r="G468" s="18" t="s">
        <v>60</v>
      </c>
      <c r="H468" s="18" t="s">
        <v>253</v>
      </c>
      <c r="I468" s="18" t="s">
        <v>3389</v>
      </c>
      <c r="J468" s="18" t="s">
        <v>3390</v>
      </c>
      <c r="K468" s="18" t="s">
        <v>1060</v>
      </c>
      <c r="L468" s="19">
        <v>11340</v>
      </c>
    </row>
    <row r="469" spans="1:12" ht="18" customHeight="1">
      <c r="A469" s="16" t="s">
        <v>3391</v>
      </c>
      <c r="B469" s="17" t="s">
        <v>3392</v>
      </c>
      <c r="C469" s="18" t="s">
        <v>56</v>
      </c>
      <c r="D469" s="18" t="s">
        <v>3393</v>
      </c>
      <c r="E469" s="18" t="s">
        <v>3394</v>
      </c>
      <c r="F469" s="18" t="s">
        <v>2961</v>
      </c>
      <c r="G469" s="18" t="s">
        <v>60</v>
      </c>
      <c r="H469" s="18" t="s">
        <v>253</v>
      </c>
      <c r="I469" s="18" t="s">
        <v>3395</v>
      </c>
      <c r="J469" s="18" t="s">
        <v>3396</v>
      </c>
      <c r="K469" s="18" t="s">
        <v>281</v>
      </c>
      <c r="L469" s="19" t="s">
        <v>1269</v>
      </c>
    </row>
    <row r="470" spans="1:12" ht="18" customHeight="1">
      <c r="A470" s="16" t="s">
        <v>3397</v>
      </c>
      <c r="B470" s="17" t="s">
        <v>3398</v>
      </c>
      <c r="C470" s="18" t="s">
        <v>56</v>
      </c>
      <c r="D470" s="18" t="s">
        <v>3399</v>
      </c>
      <c r="E470" s="18" t="s">
        <v>3400</v>
      </c>
      <c r="F470" s="18" t="s">
        <v>2961</v>
      </c>
      <c r="G470" s="18" t="s">
        <v>60</v>
      </c>
      <c r="H470" s="18" t="s">
        <v>253</v>
      </c>
      <c r="I470" s="18" t="s">
        <v>3401</v>
      </c>
      <c r="J470" s="18" t="s">
        <v>3402</v>
      </c>
      <c r="K470" s="18" t="s">
        <v>1975</v>
      </c>
      <c r="L470" s="19">
        <v>15900</v>
      </c>
    </row>
    <row r="471" spans="1:12" ht="18" customHeight="1">
      <c r="A471" s="16" t="s">
        <v>3403</v>
      </c>
      <c r="B471" s="17" t="s">
        <v>3404</v>
      </c>
      <c r="C471" s="18" t="s">
        <v>56</v>
      </c>
      <c r="D471" s="18" t="s">
        <v>3405</v>
      </c>
      <c r="E471" s="18" t="s">
        <v>3406</v>
      </c>
      <c r="F471" s="18" t="s">
        <v>2961</v>
      </c>
      <c r="G471" s="18" t="s">
        <v>60</v>
      </c>
      <c r="H471" s="18" t="s">
        <v>253</v>
      </c>
      <c r="I471" s="18" t="s">
        <v>3407</v>
      </c>
      <c r="J471" s="18" t="s">
        <v>3408</v>
      </c>
      <c r="K471" s="18" t="s">
        <v>330</v>
      </c>
      <c r="L471" s="19" t="s">
        <v>3409</v>
      </c>
    </row>
    <row r="472" spans="1:12" ht="18" customHeight="1">
      <c r="A472" s="16" t="s">
        <v>3410</v>
      </c>
      <c r="B472" s="17" t="s">
        <v>3411</v>
      </c>
      <c r="C472" s="18" t="s">
        <v>56</v>
      </c>
      <c r="D472" s="18" t="s">
        <v>3412</v>
      </c>
      <c r="E472" s="18" t="s">
        <v>3413</v>
      </c>
      <c r="F472" s="18" t="s">
        <v>2961</v>
      </c>
      <c r="G472" s="18" t="s">
        <v>60</v>
      </c>
      <c r="H472" s="18" t="s">
        <v>253</v>
      </c>
      <c r="I472" s="18" t="s">
        <v>3414</v>
      </c>
      <c r="J472" s="18" t="s">
        <v>3415</v>
      </c>
      <c r="K472" s="18" t="s">
        <v>1975</v>
      </c>
      <c r="L472" s="19">
        <v>15840</v>
      </c>
    </row>
    <row r="473" spans="1:12" ht="18" customHeight="1">
      <c r="A473" s="16" t="s">
        <v>3416</v>
      </c>
      <c r="B473" s="17" t="s">
        <v>3417</v>
      </c>
      <c r="C473" s="18" t="s">
        <v>56</v>
      </c>
      <c r="D473" s="18" t="s">
        <v>3418</v>
      </c>
      <c r="E473" s="18" t="s">
        <v>3419</v>
      </c>
      <c r="F473" s="18" t="s">
        <v>2961</v>
      </c>
      <c r="G473" s="18" t="s">
        <v>60</v>
      </c>
      <c r="H473" s="18" t="s">
        <v>253</v>
      </c>
      <c r="I473" s="18" t="s">
        <v>3420</v>
      </c>
      <c r="J473" s="18" t="s">
        <v>3421</v>
      </c>
      <c r="K473" s="18" t="s">
        <v>3422</v>
      </c>
      <c r="L473" s="19">
        <v>11340</v>
      </c>
    </row>
    <row r="474" spans="1:12" ht="18" customHeight="1">
      <c r="A474" s="16" t="s">
        <v>3423</v>
      </c>
      <c r="B474" s="17" t="s">
        <v>3424</v>
      </c>
      <c r="C474" s="18" t="s">
        <v>56</v>
      </c>
      <c r="D474" s="18" t="s">
        <v>3425</v>
      </c>
      <c r="E474" s="18" t="s">
        <v>3426</v>
      </c>
      <c r="F474" s="18" t="s">
        <v>2961</v>
      </c>
      <c r="G474" s="18" t="s">
        <v>60</v>
      </c>
      <c r="H474" s="18" t="s">
        <v>253</v>
      </c>
      <c r="I474" s="18" t="s">
        <v>3427</v>
      </c>
      <c r="J474" s="18" t="s">
        <v>3428</v>
      </c>
      <c r="K474" s="18" t="s">
        <v>330</v>
      </c>
      <c r="L474" s="19" t="s">
        <v>3384</v>
      </c>
    </row>
    <row r="475" spans="1:12" ht="18" customHeight="1">
      <c r="A475" s="16" t="s">
        <v>3429</v>
      </c>
      <c r="B475" s="17" t="s">
        <v>3430</v>
      </c>
      <c r="C475" s="18" t="s">
        <v>56</v>
      </c>
      <c r="D475" s="18" t="s">
        <v>3431</v>
      </c>
      <c r="E475" s="18" t="s">
        <v>3432</v>
      </c>
      <c r="F475" s="18" t="s">
        <v>3136</v>
      </c>
      <c r="G475" s="18" t="s">
        <v>60</v>
      </c>
      <c r="H475" s="18" t="s">
        <v>253</v>
      </c>
      <c r="I475" s="18" t="s">
        <v>3433</v>
      </c>
      <c r="J475" s="18" t="s">
        <v>3434</v>
      </c>
      <c r="K475" s="18" t="s">
        <v>281</v>
      </c>
      <c r="L475" s="19" t="s">
        <v>372</v>
      </c>
    </row>
    <row r="476" spans="1:12" ht="18" customHeight="1">
      <c r="A476" s="16" t="s">
        <v>3435</v>
      </c>
      <c r="B476" s="17" t="s">
        <v>3436</v>
      </c>
      <c r="C476" s="18" t="s">
        <v>56</v>
      </c>
      <c r="D476" s="18" t="s">
        <v>3437</v>
      </c>
      <c r="E476" s="18" t="s">
        <v>3438</v>
      </c>
      <c r="F476" s="18" t="s">
        <v>2961</v>
      </c>
      <c r="G476" s="18" t="s">
        <v>60</v>
      </c>
      <c r="H476" s="18" t="s">
        <v>253</v>
      </c>
      <c r="I476" s="18" t="s">
        <v>3439</v>
      </c>
      <c r="J476" s="18" t="s">
        <v>3440</v>
      </c>
      <c r="K476" s="18" t="s">
        <v>281</v>
      </c>
      <c r="L476" s="19" t="s">
        <v>1269</v>
      </c>
    </row>
    <row r="477" spans="1:12" ht="18" customHeight="1">
      <c r="A477" s="16" t="s">
        <v>3441</v>
      </c>
      <c r="B477" s="17" t="s">
        <v>3442</v>
      </c>
      <c r="C477" s="18" t="s">
        <v>56</v>
      </c>
      <c r="D477" s="18" t="s">
        <v>3443</v>
      </c>
      <c r="E477" s="18" t="s">
        <v>3444</v>
      </c>
      <c r="F477" s="18" t="s">
        <v>2961</v>
      </c>
      <c r="G477" s="18" t="s">
        <v>60</v>
      </c>
      <c r="H477" s="18" t="s">
        <v>253</v>
      </c>
      <c r="I477" s="18" t="s">
        <v>3445</v>
      </c>
      <c r="J477" s="18" t="s">
        <v>3446</v>
      </c>
      <c r="K477" s="18" t="s">
        <v>338</v>
      </c>
      <c r="L477" s="19" t="s">
        <v>3447</v>
      </c>
    </row>
    <row r="478" spans="1:12" ht="18" customHeight="1">
      <c r="A478" s="16" t="s">
        <v>3448</v>
      </c>
      <c r="B478" s="17" t="s">
        <v>3449</v>
      </c>
      <c r="C478" s="18" t="s">
        <v>56</v>
      </c>
      <c r="D478" s="18" t="s">
        <v>3450</v>
      </c>
      <c r="E478" s="18" t="s">
        <v>3451</v>
      </c>
      <c r="F478" s="18" t="s">
        <v>2961</v>
      </c>
      <c r="G478" s="18" t="s">
        <v>60</v>
      </c>
      <c r="H478" s="18" t="s">
        <v>253</v>
      </c>
      <c r="I478" s="18" t="s">
        <v>3452</v>
      </c>
      <c r="J478" s="18" t="s">
        <v>3453</v>
      </c>
      <c r="K478" s="18" t="s">
        <v>1060</v>
      </c>
      <c r="L478" s="19">
        <v>11850</v>
      </c>
    </row>
    <row r="479" spans="1:12" ht="18" customHeight="1">
      <c r="A479" s="16" t="s">
        <v>3454</v>
      </c>
      <c r="B479" s="17" t="s">
        <v>3455</v>
      </c>
      <c r="C479" s="18" t="s">
        <v>56</v>
      </c>
      <c r="D479" s="18" t="s">
        <v>3456</v>
      </c>
      <c r="E479" s="18" t="s">
        <v>3457</v>
      </c>
      <c r="F479" s="18" t="s">
        <v>2961</v>
      </c>
      <c r="G479" s="18" t="s">
        <v>60</v>
      </c>
      <c r="H479" s="18" t="s">
        <v>253</v>
      </c>
      <c r="I479" s="18" t="s">
        <v>3458</v>
      </c>
      <c r="J479" s="18" t="s">
        <v>3459</v>
      </c>
      <c r="K479" s="18" t="s">
        <v>281</v>
      </c>
      <c r="L479" s="19" t="s">
        <v>3460</v>
      </c>
    </row>
    <row r="480" spans="1:12" ht="18" customHeight="1">
      <c r="A480" s="16" t="s">
        <v>3461</v>
      </c>
      <c r="B480" s="17" t="s">
        <v>3462</v>
      </c>
      <c r="C480" s="18" t="s">
        <v>56</v>
      </c>
      <c r="D480" s="18" t="s">
        <v>3463</v>
      </c>
      <c r="E480" s="18" t="s">
        <v>3464</v>
      </c>
      <c r="F480" s="18" t="s">
        <v>2961</v>
      </c>
      <c r="G480" s="18" t="s">
        <v>60</v>
      </c>
      <c r="H480" s="18" t="s">
        <v>351</v>
      </c>
      <c r="I480" s="18" t="s">
        <v>3465</v>
      </c>
      <c r="J480" s="18" t="s">
        <v>3466</v>
      </c>
      <c r="K480" s="18" t="s">
        <v>1047</v>
      </c>
      <c r="L480" s="19">
        <v>62130</v>
      </c>
    </row>
    <row r="481" spans="1:12" ht="18" customHeight="1">
      <c r="A481" s="16" t="s">
        <v>3467</v>
      </c>
      <c r="B481" s="17" t="s">
        <v>3468</v>
      </c>
      <c r="C481" s="18" t="s">
        <v>56</v>
      </c>
      <c r="D481" s="18" t="s">
        <v>3469</v>
      </c>
      <c r="E481" s="18" t="s">
        <v>3470</v>
      </c>
      <c r="F481" s="18" t="s">
        <v>2961</v>
      </c>
      <c r="G481" s="18" t="s">
        <v>60</v>
      </c>
      <c r="H481" s="18" t="s">
        <v>253</v>
      </c>
      <c r="I481" s="18" t="s">
        <v>3471</v>
      </c>
      <c r="J481" s="18" t="s">
        <v>3472</v>
      </c>
      <c r="K481" s="18" t="s">
        <v>3473</v>
      </c>
      <c r="L481" s="19" t="s">
        <v>3474</v>
      </c>
    </row>
    <row r="482" spans="1:12" ht="18" customHeight="1">
      <c r="A482" s="16" t="s">
        <v>3475</v>
      </c>
      <c r="B482" s="17" t="s">
        <v>3476</v>
      </c>
      <c r="C482" s="18" t="s">
        <v>56</v>
      </c>
      <c r="D482" s="18" t="s">
        <v>3477</v>
      </c>
      <c r="E482" s="18" t="s">
        <v>3478</v>
      </c>
      <c r="F482" s="18" t="s">
        <v>2961</v>
      </c>
      <c r="G482" s="18" t="s">
        <v>60</v>
      </c>
      <c r="H482" s="18" t="s">
        <v>106</v>
      </c>
      <c r="I482" s="18" t="s">
        <v>3479</v>
      </c>
      <c r="J482" s="18" t="s">
        <v>3480</v>
      </c>
      <c r="K482" s="18" t="s">
        <v>1652</v>
      </c>
      <c r="L482" s="19">
        <v>25730</v>
      </c>
    </row>
    <row r="483" spans="1:12" ht="18" customHeight="1">
      <c r="A483" s="16" t="s">
        <v>3481</v>
      </c>
      <c r="B483" s="17" t="s">
        <v>3482</v>
      </c>
      <c r="C483" s="18" t="s">
        <v>56</v>
      </c>
      <c r="D483" s="18" t="s">
        <v>3483</v>
      </c>
      <c r="E483" s="18" t="s">
        <v>3484</v>
      </c>
      <c r="F483" s="18" t="s">
        <v>2961</v>
      </c>
      <c r="G483" s="18" t="s">
        <v>60</v>
      </c>
      <c r="H483" s="18" t="s">
        <v>99</v>
      </c>
      <c r="I483" s="18" t="s">
        <v>3485</v>
      </c>
      <c r="J483" s="18" t="s">
        <v>3486</v>
      </c>
      <c r="K483" s="18" t="s">
        <v>99</v>
      </c>
      <c r="L483" s="19">
        <v>31320</v>
      </c>
    </row>
    <row r="484" spans="1:12" ht="18" customHeight="1">
      <c r="A484" s="16" t="s">
        <v>3487</v>
      </c>
      <c r="B484" s="17" t="s">
        <v>3488</v>
      </c>
      <c r="C484" s="18" t="s">
        <v>56</v>
      </c>
      <c r="D484" s="18" t="s">
        <v>3489</v>
      </c>
      <c r="E484" s="18" t="s">
        <v>3490</v>
      </c>
      <c r="F484" s="18" t="s">
        <v>3136</v>
      </c>
      <c r="G484" s="18" t="s">
        <v>60</v>
      </c>
      <c r="H484" s="18" t="s">
        <v>128</v>
      </c>
      <c r="I484" s="18" t="s">
        <v>3491</v>
      </c>
      <c r="J484" s="18" t="s">
        <v>3492</v>
      </c>
      <c r="K484" s="18" t="s">
        <v>131</v>
      </c>
      <c r="L484" s="19">
        <v>38020</v>
      </c>
    </row>
    <row r="485" spans="1:12" ht="18" customHeight="1">
      <c r="A485" s="16" t="s">
        <v>3493</v>
      </c>
      <c r="B485" s="17" t="s">
        <v>3494</v>
      </c>
      <c r="C485" s="18" t="s">
        <v>56</v>
      </c>
      <c r="D485" s="18" t="s">
        <v>3495</v>
      </c>
      <c r="E485" s="18" t="s">
        <v>3496</v>
      </c>
      <c r="F485" s="18" t="s">
        <v>2961</v>
      </c>
      <c r="G485" s="18" t="s">
        <v>60</v>
      </c>
      <c r="H485" s="18" t="s">
        <v>1153</v>
      </c>
      <c r="I485" s="18" t="s">
        <v>3497</v>
      </c>
      <c r="J485" s="18" t="s">
        <v>3498</v>
      </c>
      <c r="K485" s="18" t="s">
        <v>1153</v>
      </c>
      <c r="L485" s="19">
        <v>68000</v>
      </c>
    </row>
    <row r="486" spans="1:12" ht="18" customHeight="1">
      <c r="A486" s="16" t="s">
        <v>3499</v>
      </c>
      <c r="B486" s="17" t="s">
        <v>3500</v>
      </c>
      <c r="C486" s="18" t="s">
        <v>56</v>
      </c>
      <c r="D486" s="18" t="s">
        <v>3501</v>
      </c>
      <c r="E486" s="18" t="s">
        <v>3502</v>
      </c>
      <c r="F486" s="18" t="s">
        <v>2961</v>
      </c>
      <c r="G486" s="18" t="s">
        <v>60</v>
      </c>
      <c r="H486" s="18" t="s">
        <v>168</v>
      </c>
      <c r="I486" s="18" t="s">
        <v>3503</v>
      </c>
      <c r="J486" s="18" t="s">
        <v>3504</v>
      </c>
      <c r="K486" s="18" t="s">
        <v>168</v>
      </c>
      <c r="L486" s="19">
        <v>72000</v>
      </c>
    </row>
    <row r="487" spans="1:12" ht="18" customHeight="1">
      <c r="A487" s="16" t="s">
        <v>3505</v>
      </c>
      <c r="B487" s="17" t="s">
        <v>3506</v>
      </c>
      <c r="C487" s="18" t="s">
        <v>56</v>
      </c>
      <c r="D487" s="18" t="s">
        <v>3507</v>
      </c>
      <c r="E487" s="18" t="s">
        <v>3508</v>
      </c>
      <c r="F487" s="18" t="s">
        <v>2961</v>
      </c>
      <c r="G487" s="18" t="s">
        <v>60</v>
      </c>
      <c r="H487" s="18" t="s">
        <v>197</v>
      </c>
      <c r="I487" s="18" t="s">
        <v>3509</v>
      </c>
      <c r="J487" s="18" t="s">
        <v>3510</v>
      </c>
      <c r="K487" s="18" t="s">
        <v>200</v>
      </c>
      <c r="L487" s="19">
        <v>83190</v>
      </c>
    </row>
    <row r="488" spans="1:12" ht="18" customHeight="1">
      <c r="A488" s="16" t="s">
        <v>3511</v>
      </c>
      <c r="B488" s="17" t="s">
        <v>3512</v>
      </c>
      <c r="C488" s="18" t="s">
        <v>56</v>
      </c>
      <c r="D488" s="18" t="s">
        <v>3513</v>
      </c>
      <c r="E488" s="18" t="s">
        <v>3514</v>
      </c>
      <c r="F488" s="18" t="s">
        <v>2961</v>
      </c>
      <c r="G488" s="18" t="s">
        <v>60</v>
      </c>
      <c r="H488" s="18" t="s">
        <v>175</v>
      </c>
      <c r="I488" s="18" t="s">
        <v>3515</v>
      </c>
      <c r="J488" s="18" t="s">
        <v>3516</v>
      </c>
      <c r="K488" s="18" t="s">
        <v>1142</v>
      </c>
      <c r="L488" s="19">
        <v>76000</v>
      </c>
    </row>
    <row r="489" spans="1:12" ht="18" customHeight="1">
      <c r="A489" s="16" t="s">
        <v>3517</v>
      </c>
      <c r="B489" s="17" t="s">
        <v>3518</v>
      </c>
      <c r="C489" s="18" t="s">
        <v>56</v>
      </c>
      <c r="D489" s="18" t="s">
        <v>3519</v>
      </c>
      <c r="E489" s="18" t="s">
        <v>3520</v>
      </c>
      <c r="F489" s="18" t="s">
        <v>2961</v>
      </c>
      <c r="G489" s="18" t="s">
        <v>60</v>
      </c>
      <c r="H489" s="18" t="s">
        <v>253</v>
      </c>
      <c r="I489" s="18" t="s">
        <v>3521</v>
      </c>
      <c r="J489" s="18" t="s">
        <v>3522</v>
      </c>
      <c r="K489" s="18" t="s">
        <v>1975</v>
      </c>
      <c r="L489" s="19">
        <v>15240</v>
      </c>
    </row>
    <row r="490" spans="1:12" ht="18" customHeight="1">
      <c r="A490" s="16" t="s">
        <v>3523</v>
      </c>
      <c r="B490" s="17" t="s">
        <v>3524</v>
      </c>
      <c r="C490" s="18" t="s">
        <v>56</v>
      </c>
      <c r="D490" s="18" t="s">
        <v>3525</v>
      </c>
      <c r="E490" s="18" t="s">
        <v>3526</v>
      </c>
      <c r="F490" s="18" t="s">
        <v>2961</v>
      </c>
      <c r="G490" s="18" t="s">
        <v>60</v>
      </c>
      <c r="H490" s="18" t="s">
        <v>152</v>
      </c>
      <c r="I490" s="18" t="s">
        <v>3527</v>
      </c>
      <c r="J490" s="18" t="s">
        <v>3528</v>
      </c>
      <c r="K490" s="18" t="s">
        <v>155</v>
      </c>
      <c r="L490" s="19">
        <v>63000</v>
      </c>
    </row>
    <row r="491" spans="1:12" ht="18" customHeight="1">
      <c r="A491" s="16" t="s">
        <v>3529</v>
      </c>
      <c r="B491" s="17" t="s">
        <v>3530</v>
      </c>
      <c r="C491" s="18" t="s">
        <v>56</v>
      </c>
      <c r="D491" s="18" t="s">
        <v>3531</v>
      </c>
      <c r="E491" s="18" t="s">
        <v>3532</v>
      </c>
      <c r="F491" s="18" t="s">
        <v>2961</v>
      </c>
      <c r="G491" s="18" t="s">
        <v>60</v>
      </c>
      <c r="H491" s="18" t="s">
        <v>213</v>
      </c>
      <c r="I491" s="18" t="s">
        <v>3533</v>
      </c>
      <c r="J491" s="18" t="s">
        <v>3534</v>
      </c>
      <c r="K491" s="18" t="s">
        <v>216</v>
      </c>
      <c r="L491" s="19">
        <v>87000</v>
      </c>
    </row>
    <row r="492" spans="1:12" ht="18" customHeight="1">
      <c r="A492" s="16" t="s">
        <v>3535</v>
      </c>
      <c r="B492" s="17" t="s">
        <v>3536</v>
      </c>
      <c r="C492" s="18" t="s">
        <v>56</v>
      </c>
      <c r="D492" s="18" t="s">
        <v>3537</v>
      </c>
      <c r="E492" s="18" t="s">
        <v>3538</v>
      </c>
      <c r="F492" s="18" t="s">
        <v>2961</v>
      </c>
      <c r="G492" s="18" t="s">
        <v>60</v>
      </c>
      <c r="H492" s="18" t="s">
        <v>152</v>
      </c>
      <c r="I492" s="18" t="s">
        <v>3539</v>
      </c>
      <c r="J492" s="18" t="s">
        <v>3540</v>
      </c>
      <c r="K492" s="18" t="s">
        <v>155</v>
      </c>
      <c r="L492" s="19">
        <v>63050</v>
      </c>
    </row>
    <row r="493" spans="1:12" ht="18" customHeight="1">
      <c r="A493" s="16" t="s">
        <v>3541</v>
      </c>
      <c r="B493" s="17" t="s">
        <v>3542</v>
      </c>
      <c r="C493" s="18" t="s">
        <v>56</v>
      </c>
      <c r="D493" s="18" t="s">
        <v>3543</v>
      </c>
      <c r="E493" s="18" t="s">
        <v>3544</v>
      </c>
      <c r="F493" s="18" t="s">
        <v>2961</v>
      </c>
      <c r="G493" s="18" t="s">
        <v>60</v>
      </c>
      <c r="H493" s="18" t="s">
        <v>616</v>
      </c>
      <c r="I493" s="18" t="s">
        <v>3545</v>
      </c>
      <c r="J493" s="18" t="s">
        <v>3546</v>
      </c>
      <c r="K493" s="18" t="s">
        <v>616</v>
      </c>
      <c r="L493" s="19">
        <v>91918</v>
      </c>
    </row>
    <row r="494" spans="1:12" ht="18" customHeight="1">
      <c r="A494" s="16" t="s">
        <v>3547</v>
      </c>
      <c r="B494" s="17" t="s">
        <v>3548</v>
      </c>
      <c r="C494" s="18" t="s">
        <v>56</v>
      </c>
      <c r="D494" s="18" t="s">
        <v>3549</v>
      </c>
      <c r="E494" s="18" t="s">
        <v>3550</v>
      </c>
      <c r="F494" s="18" t="s">
        <v>2961</v>
      </c>
      <c r="G494" s="18" t="s">
        <v>60</v>
      </c>
      <c r="H494" s="18" t="s">
        <v>616</v>
      </c>
      <c r="I494" s="18" t="s">
        <v>3551</v>
      </c>
      <c r="J494" s="18" t="s">
        <v>3552</v>
      </c>
      <c r="K494" s="18" t="s">
        <v>1181</v>
      </c>
      <c r="L494" s="19">
        <v>91000</v>
      </c>
    </row>
    <row r="495" spans="1:12" ht="18" customHeight="1">
      <c r="A495" s="16" t="s">
        <v>3553</v>
      </c>
      <c r="B495" s="17" t="s">
        <v>3554</v>
      </c>
      <c r="C495" s="18" t="s">
        <v>56</v>
      </c>
      <c r="D495" s="18" t="s">
        <v>3555</v>
      </c>
      <c r="E495" s="18" t="s">
        <v>3556</v>
      </c>
      <c r="F495" s="18" t="s">
        <v>2961</v>
      </c>
      <c r="G495" s="18" t="s">
        <v>60</v>
      </c>
      <c r="H495" s="18" t="s">
        <v>583</v>
      </c>
      <c r="I495" s="18" t="s">
        <v>3557</v>
      </c>
      <c r="J495" s="18" t="s">
        <v>3558</v>
      </c>
      <c r="K495" s="18" t="s">
        <v>2664</v>
      </c>
      <c r="L495" s="19">
        <v>42185</v>
      </c>
    </row>
    <row r="496" spans="1:12" ht="18" customHeight="1">
      <c r="A496" s="16" t="s">
        <v>3559</v>
      </c>
      <c r="B496" s="17" t="s">
        <v>3560</v>
      </c>
      <c r="C496" s="18" t="s">
        <v>56</v>
      </c>
      <c r="D496" s="18" t="s">
        <v>3561</v>
      </c>
      <c r="E496" s="18" t="s">
        <v>3562</v>
      </c>
      <c r="F496" s="18" t="s">
        <v>2961</v>
      </c>
      <c r="G496" s="18" t="s">
        <v>60</v>
      </c>
      <c r="H496" s="18" t="s">
        <v>583</v>
      </c>
      <c r="I496" s="18" t="s">
        <v>3563</v>
      </c>
      <c r="J496" s="18" t="s">
        <v>3564</v>
      </c>
      <c r="K496" s="18" t="s">
        <v>2664</v>
      </c>
      <c r="L496" s="19">
        <v>42060</v>
      </c>
    </row>
    <row r="497" spans="1:12" ht="18" customHeight="1">
      <c r="A497" s="16" t="s">
        <v>3565</v>
      </c>
      <c r="B497" s="17" t="s">
        <v>3566</v>
      </c>
      <c r="C497" s="18" t="s">
        <v>56</v>
      </c>
      <c r="D497" s="18" t="s">
        <v>3567</v>
      </c>
      <c r="E497" s="18" t="s">
        <v>3568</v>
      </c>
      <c r="F497" s="18" t="s">
        <v>2961</v>
      </c>
      <c r="G497" s="18" t="s">
        <v>60</v>
      </c>
      <c r="H497" s="18" t="s">
        <v>583</v>
      </c>
      <c r="I497" s="18" t="s">
        <v>3569</v>
      </c>
      <c r="J497" s="18" t="s">
        <v>3570</v>
      </c>
      <c r="K497" s="18" t="s">
        <v>3571</v>
      </c>
      <c r="L497" s="19">
        <v>42400</v>
      </c>
    </row>
    <row r="498" spans="1:12" ht="18" customHeight="1">
      <c r="A498" s="16" t="s">
        <v>3572</v>
      </c>
      <c r="B498" s="17" t="s">
        <v>3573</v>
      </c>
      <c r="C498" s="18" t="s">
        <v>56</v>
      </c>
      <c r="D498" s="18" t="s">
        <v>3574</v>
      </c>
      <c r="E498" s="18" t="s">
        <v>3575</v>
      </c>
      <c r="F498" s="18" t="s">
        <v>2961</v>
      </c>
      <c r="G498" s="18" t="s">
        <v>60</v>
      </c>
      <c r="H498" s="18" t="s">
        <v>197</v>
      </c>
      <c r="I498" s="18" t="s">
        <v>3576</v>
      </c>
      <c r="J498" s="18" t="s">
        <v>3577</v>
      </c>
      <c r="K498" s="18" t="s">
        <v>3578</v>
      </c>
      <c r="L498" s="19">
        <v>85010</v>
      </c>
    </row>
    <row r="499" spans="1:12" ht="18" customHeight="1">
      <c r="A499" s="16" t="s">
        <v>3579</v>
      </c>
      <c r="B499" s="17" t="s">
        <v>3580</v>
      </c>
      <c r="C499" s="18" t="s">
        <v>56</v>
      </c>
      <c r="D499" s="18" t="s">
        <v>3581</v>
      </c>
      <c r="E499" s="18" t="s">
        <v>3582</v>
      </c>
      <c r="F499" s="18" t="s">
        <v>2961</v>
      </c>
      <c r="G499" s="18" t="s">
        <v>60</v>
      </c>
      <c r="H499" s="18" t="s">
        <v>197</v>
      </c>
      <c r="I499" s="18" t="s">
        <v>3583</v>
      </c>
      <c r="J499" s="18" t="s">
        <v>3584</v>
      </c>
      <c r="K499" s="18" t="s">
        <v>1668</v>
      </c>
      <c r="L499" s="19">
        <v>84020</v>
      </c>
    </row>
    <row r="500" spans="1:12" ht="18" customHeight="1">
      <c r="A500" s="16" t="s">
        <v>3585</v>
      </c>
      <c r="B500" s="17" t="s">
        <v>3586</v>
      </c>
      <c r="C500" s="18" t="s">
        <v>56</v>
      </c>
      <c r="D500" s="18" t="s">
        <v>3587</v>
      </c>
      <c r="E500" s="18" t="s">
        <v>3588</v>
      </c>
      <c r="F500" s="18" t="s">
        <v>2961</v>
      </c>
      <c r="G500" s="18" t="s">
        <v>60</v>
      </c>
      <c r="H500" s="18" t="s">
        <v>253</v>
      </c>
      <c r="I500" s="18" t="s">
        <v>3589</v>
      </c>
      <c r="J500" s="18" t="s">
        <v>3590</v>
      </c>
      <c r="K500" s="18" t="s">
        <v>330</v>
      </c>
      <c r="L500" s="19" t="s">
        <v>331</v>
      </c>
    </row>
    <row r="501" spans="1:12" ht="18" customHeight="1">
      <c r="A501" s="16" t="s">
        <v>3591</v>
      </c>
      <c r="B501" s="17" t="s">
        <v>3592</v>
      </c>
      <c r="C501" s="18" t="s">
        <v>56</v>
      </c>
      <c r="D501" s="18" t="s">
        <v>3593</v>
      </c>
      <c r="E501" s="18" t="s">
        <v>3594</v>
      </c>
      <c r="F501" s="18" t="s">
        <v>2961</v>
      </c>
      <c r="G501" s="18" t="s">
        <v>60</v>
      </c>
      <c r="H501" s="18" t="s">
        <v>114</v>
      </c>
      <c r="I501" s="18" t="s">
        <v>3595</v>
      </c>
      <c r="J501" s="18" t="s">
        <v>3596</v>
      </c>
      <c r="K501" s="18" t="s">
        <v>114</v>
      </c>
      <c r="L501" s="19">
        <v>28000</v>
      </c>
    </row>
    <row r="502" spans="1:12" ht="18" customHeight="1">
      <c r="A502" s="16" t="s">
        <v>3597</v>
      </c>
      <c r="B502" s="17" t="s">
        <v>3598</v>
      </c>
      <c r="C502" s="18" t="s">
        <v>56</v>
      </c>
      <c r="D502" s="18" t="s">
        <v>3599</v>
      </c>
      <c r="E502" s="18" t="s">
        <v>3600</v>
      </c>
      <c r="F502" s="18" t="s">
        <v>2961</v>
      </c>
      <c r="G502" s="18" t="s">
        <v>60</v>
      </c>
      <c r="H502" s="18" t="s">
        <v>121</v>
      </c>
      <c r="I502" s="18" t="s">
        <v>3601</v>
      </c>
      <c r="J502" s="18" t="s">
        <v>3602</v>
      </c>
      <c r="K502" s="18" t="s">
        <v>121</v>
      </c>
      <c r="L502" s="19">
        <v>34050</v>
      </c>
    </row>
    <row r="503" spans="1:12" ht="18" customHeight="1">
      <c r="A503" s="16" t="s">
        <v>3603</v>
      </c>
      <c r="B503" s="17" t="s">
        <v>3604</v>
      </c>
      <c r="C503" s="18" t="s">
        <v>56</v>
      </c>
      <c r="D503" s="18" t="s">
        <v>3605</v>
      </c>
      <c r="E503" s="18" t="s">
        <v>3606</v>
      </c>
      <c r="F503" s="18" t="s">
        <v>2961</v>
      </c>
      <c r="G503" s="18" t="s">
        <v>60</v>
      </c>
      <c r="H503" s="18" t="s">
        <v>504</v>
      </c>
      <c r="I503" s="18" t="s">
        <v>3607</v>
      </c>
      <c r="J503" s="18" t="s">
        <v>3608</v>
      </c>
      <c r="K503" s="18" t="s">
        <v>1644</v>
      </c>
      <c r="L503" s="19">
        <v>82124</v>
      </c>
    </row>
    <row r="504" spans="1:12" ht="18" customHeight="1">
      <c r="A504" s="16" t="s">
        <v>3609</v>
      </c>
      <c r="B504" s="17" t="s">
        <v>3610</v>
      </c>
      <c r="C504" s="18" t="s">
        <v>56</v>
      </c>
      <c r="D504" s="18" t="s">
        <v>3611</v>
      </c>
      <c r="E504" s="18" t="s">
        <v>3612</v>
      </c>
      <c r="F504" s="18" t="s">
        <v>2961</v>
      </c>
      <c r="G504" s="18" t="s">
        <v>60</v>
      </c>
      <c r="H504" s="18" t="s">
        <v>253</v>
      </c>
      <c r="I504" s="18" t="s">
        <v>3613</v>
      </c>
      <c r="J504" s="18" t="s">
        <v>3614</v>
      </c>
      <c r="K504" s="18" t="s">
        <v>1277</v>
      </c>
      <c r="L504" s="19" t="s">
        <v>1278</v>
      </c>
    </row>
    <row r="505" spans="1:12" ht="18" customHeight="1">
      <c r="A505" s="16" t="s">
        <v>3615</v>
      </c>
      <c r="B505" s="17" t="s">
        <v>3616</v>
      </c>
      <c r="C505" s="18" t="s">
        <v>56</v>
      </c>
      <c r="D505" s="18" t="s">
        <v>3617</v>
      </c>
      <c r="E505" s="18" t="s">
        <v>3618</v>
      </c>
      <c r="F505" s="18" t="s">
        <v>2961</v>
      </c>
      <c r="G505" s="18" t="s">
        <v>60</v>
      </c>
      <c r="H505" s="18" t="s">
        <v>175</v>
      </c>
      <c r="I505" s="18" t="s">
        <v>3619</v>
      </c>
      <c r="J505" s="18" t="s">
        <v>3620</v>
      </c>
      <c r="K505" s="18" t="s">
        <v>175</v>
      </c>
      <c r="L505" s="19">
        <v>76000</v>
      </c>
    </row>
    <row r="506" spans="1:12" ht="18" customHeight="1">
      <c r="A506" s="16" t="s">
        <v>3621</v>
      </c>
      <c r="B506" s="17" t="s">
        <v>3622</v>
      </c>
      <c r="C506" s="18" t="s">
        <v>56</v>
      </c>
      <c r="D506" s="18" t="s">
        <v>3623</v>
      </c>
      <c r="E506" s="18" t="s">
        <v>3624</v>
      </c>
      <c r="F506" s="18" t="s">
        <v>2961</v>
      </c>
      <c r="G506" s="18" t="s">
        <v>60</v>
      </c>
      <c r="H506" s="18" t="s">
        <v>128</v>
      </c>
      <c r="I506" s="18" t="s">
        <v>3625</v>
      </c>
      <c r="J506" s="18" t="s">
        <v>3626</v>
      </c>
      <c r="K506" s="18" t="s">
        <v>3627</v>
      </c>
      <c r="L506" s="19">
        <v>37800</v>
      </c>
    </row>
    <row r="507" spans="1:12" ht="18" customHeight="1">
      <c r="A507" s="16" t="s">
        <v>3628</v>
      </c>
      <c r="B507" s="17" t="s">
        <v>3629</v>
      </c>
      <c r="C507" s="18" t="s">
        <v>56</v>
      </c>
      <c r="D507" s="18" t="s">
        <v>3630</v>
      </c>
      <c r="E507" s="18" t="s">
        <v>3631</v>
      </c>
      <c r="F507" s="18" t="s">
        <v>2961</v>
      </c>
      <c r="G507" s="18" t="s">
        <v>60</v>
      </c>
      <c r="H507" s="18" t="s">
        <v>144</v>
      </c>
      <c r="I507" s="18" t="s">
        <v>3632</v>
      </c>
      <c r="J507" s="18" t="s">
        <v>3633</v>
      </c>
      <c r="K507" s="18" t="s">
        <v>147</v>
      </c>
      <c r="L507" s="19">
        <v>97000</v>
      </c>
    </row>
    <row r="508" spans="1:12" ht="18" customHeight="1">
      <c r="A508" s="16" t="s">
        <v>3634</v>
      </c>
      <c r="B508" s="17" t="s">
        <v>3635</v>
      </c>
      <c r="C508" s="18" t="s">
        <v>56</v>
      </c>
      <c r="D508" s="18" t="s">
        <v>3636</v>
      </c>
      <c r="E508" s="18" t="s">
        <v>3637</v>
      </c>
      <c r="F508" s="18" t="s">
        <v>2961</v>
      </c>
      <c r="G508" s="18" t="s">
        <v>60</v>
      </c>
      <c r="H508" s="18" t="s">
        <v>1153</v>
      </c>
      <c r="I508" s="18" t="s">
        <v>3638</v>
      </c>
      <c r="J508" s="18" t="s">
        <v>3639</v>
      </c>
      <c r="K508" s="18" t="s">
        <v>3640</v>
      </c>
      <c r="L508" s="19">
        <v>68300</v>
      </c>
    </row>
    <row r="509" spans="1:12" ht="18" customHeight="1">
      <c r="A509" s="16" t="s">
        <v>3641</v>
      </c>
      <c r="B509" s="17" t="s">
        <v>3642</v>
      </c>
      <c r="C509" s="18" t="s">
        <v>56</v>
      </c>
      <c r="D509" s="18" t="s">
        <v>3643</v>
      </c>
      <c r="E509" s="18" t="s">
        <v>3644</v>
      </c>
      <c r="F509" s="18" t="s">
        <v>2961</v>
      </c>
      <c r="G509" s="18" t="s">
        <v>60</v>
      </c>
      <c r="H509" s="18" t="s">
        <v>197</v>
      </c>
      <c r="I509" s="18" t="s">
        <v>3645</v>
      </c>
      <c r="J509" s="18" t="s">
        <v>3646</v>
      </c>
      <c r="K509" s="18" t="s">
        <v>1556</v>
      </c>
      <c r="L509" s="19">
        <v>39200</v>
      </c>
    </row>
    <row r="510" spans="1:12" ht="18" customHeight="1">
      <c r="A510" s="16" t="s">
        <v>3647</v>
      </c>
      <c r="B510" s="17" t="s">
        <v>3648</v>
      </c>
      <c r="C510" s="18" t="s">
        <v>56</v>
      </c>
      <c r="D510" s="18" t="s">
        <v>3649</v>
      </c>
      <c r="E510" s="18" t="s">
        <v>3650</v>
      </c>
      <c r="F510" s="18" t="s">
        <v>2961</v>
      </c>
      <c r="G510" s="18" t="s">
        <v>60</v>
      </c>
      <c r="H510" s="18" t="s">
        <v>136</v>
      </c>
      <c r="I510" s="18" t="s">
        <v>3651</v>
      </c>
      <c r="J510" s="18" t="s">
        <v>3652</v>
      </c>
      <c r="K510" s="18" t="s">
        <v>139</v>
      </c>
      <c r="L510" s="19">
        <v>39610</v>
      </c>
    </row>
    <row r="511" spans="1:12" ht="18" customHeight="1">
      <c r="A511" s="16" t="s">
        <v>3653</v>
      </c>
      <c r="B511" s="17" t="s">
        <v>3654</v>
      </c>
      <c r="C511" s="18" t="s">
        <v>56</v>
      </c>
      <c r="D511" s="18" t="s">
        <v>3655</v>
      </c>
      <c r="E511" s="18" t="s">
        <v>3656</v>
      </c>
      <c r="F511" s="18" t="s">
        <v>2961</v>
      </c>
      <c r="G511" s="18" t="s">
        <v>60</v>
      </c>
      <c r="H511" s="18" t="s">
        <v>504</v>
      </c>
      <c r="I511" s="18" t="s">
        <v>3657</v>
      </c>
      <c r="J511" s="18" t="s">
        <v>3658</v>
      </c>
      <c r="K511" s="18" t="s">
        <v>1620</v>
      </c>
      <c r="L511" s="19">
        <v>81230</v>
      </c>
    </row>
    <row r="512" spans="1:12" ht="18" customHeight="1">
      <c r="A512" s="16" t="s">
        <v>3659</v>
      </c>
      <c r="B512" s="17" t="s">
        <v>3660</v>
      </c>
      <c r="C512" s="18" t="s">
        <v>56</v>
      </c>
      <c r="D512" s="18" t="s">
        <v>3661</v>
      </c>
      <c r="E512" s="18" t="s">
        <v>3662</v>
      </c>
      <c r="F512" s="18" t="s">
        <v>2961</v>
      </c>
      <c r="G512" s="18" t="s">
        <v>60</v>
      </c>
      <c r="H512" s="18" t="s">
        <v>182</v>
      </c>
      <c r="I512" s="18" t="s">
        <v>3663</v>
      </c>
      <c r="J512" s="18" t="s">
        <v>3664</v>
      </c>
      <c r="K512" s="18" t="s">
        <v>182</v>
      </c>
      <c r="L512" s="19">
        <v>77000</v>
      </c>
    </row>
    <row r="513" spans="1:12" ht="18" customHeight="1">
      <c r="A513" s="16" t="s">
        <v>3665</v>
      </c>
      <c r="B513" s="17" t="s">
        <v>3666</v>
      </c>
      <c r="C513" s="18" t="s">
        <v>56</v>
      </c>
      <c r="D513" s="18" t="s">
        <v>3667</v>
      </c>
      <c r="E513" s="18" t="s">
        <v>3668</v>
      </c>
      <c r="F513" s="18" t="s">
        <v>2961</v>
      </c>
      <c r="G513" s="18" t="s">
        <v>60</v>
      </c>
      <c r="H513" s="18" t="s">
        <v>1153</v>
      </c>
      <c r="I513" s="18" t="s">
        <v>3669</v>
      </c>
      <c r="J513" s="18" t="s">
        <v>3670</v>
      </c>
      <c r="K513" s="18" t="s">
        <v>1572</v>
      </c>
      <c r="L513" s="19">
        <v>69000</v>
      </c>
    </row>
    <row r="514" spans="1:12" ht="18" customHeight="1">
      <c r="A514" s="16" t="s">
        <v>3671</v>
      </c>
      <c r="B514" s="17" t="s">
        <v>3672</v>
      </c>
      <c r="C514" s="18" t="s">
        <v>56</v>
      </c>
      <c r="D514" s="18" t="s">
        <v>3673</v>
      </c>
      <c r="E514" s="18" t="s">
        <v>3674</v>
      </c>
      <c r="F514" s="18" t="s">
        <v>2961</v>
      </c>
      <c r="G514" s="18" t="s">
        <v>60</v>
      </c>
      <c r="H514" s="18" t="s">
        <v>213</v>
      </c>
      <c r="I514" s="18" t="s">
        <v>3675</v>
      </c>
      <c r="J514" s="18" t="s">
        <v>3676</v>
      </c>
      <c r="K514" s="18" t="s">
        <v>1481</v>
      </c>
      <c r="L514" s="19">
        <v>88630</v>
      </c>
    </row>
    <row r="515" spans="1:12" ht="18" customHeight="1">
      <c r="A515" s="16" t="s">
        <v>3677</v>
      </c>
      <c r="B515" s="17" t="s">
        <v>3678</v>
      </c>
      <c r="C515" s="18" t="s">
        <v>56</v>
      </c>
      <c r="D515" s="18" t="s">
        <v>3679</v>
      </c>
      <c r="E515" s="18" t="s">
        <v>3680</v>
      </c>
      <c r="F515" s="18" t="s">
        <v>2961</v>
      </c>
      <c r="G515" s="18" t="s">
        <v>60</v>
      </c>
      <c r="H515" s="18" t="s">
        <v>253</v>
      </c>
      <c r="I515" s="18" t="s">
        <v>3681</v>
      </c>
      <c r="J515" s="18" t="s">
        <v>3682</v>
      </c>
      <c r="K515" s="18" t="s">
        <v>281</v>
      </c>
      <c r="L515" s="19" t="s">
        <v>282</v>
      </c>
    </row>
    <row r="516" spans="1:12" ht="18" customHeight="1">
      <c r="A516" s="16" t="s">
        <v>3683</v>
      </c>
      <c r="B516" s="17" t="s">
        <v>3684</v>
      </c>
      <c r="C516" s="18" t="s">
        <v>56</v>
      </c>
      <c r="D516" s="18" t="s">
        <v>3685</v>
      </c>
      <c r="E516" s="18" t="s">
        <v>3686</v>
      </c>
      <c r="F516" s="18" t="s">
        <v>2961</v>
      </c>
      <c r="G516" s="18" t="s">
        <v>60</v>
      </c>
      <c r="H516" s="18" t="s">
        <v>253</v>
      </c>
      <c r="I516" s="18" t="s">
        <v>3687</v>
      </c>
      <c r="J516" s="18" t="s">
        <v>3688</v>
      </c>
      <c r="K516" s="18" t="s">
        <v>330</v>
      </c>
      <c r="L516" s="19" t="s">
        <v>1297</v>
      </c>
    </row>
    <row r="517" spans="1:12" ht="18" customHeight="1">
      <c r="A517" s="16" t="s">
        <v>3689</v>
      </c>
      <c r="B517" s="17" t="s">
        <v>3690</v>
      </c>
      <c r="C517" s="18" t="s">
        <v>56</v>
      </c>
      <c r="D517" s="18" t="s">
        <v>3691</v>
      </c>
      <c r="E517" s="18" t="s">
        <v>3692</v>
      </c>
      <c r="F517" s="18" t="s">
        <v>2961</v>
      </c>
      <c r="G517" s="18" t="s">
        <v>60</v>
      </c>
      <c r="H517" s="18" t="s">
        <v>253</v>
      </c>
      <c r="I517" s="18" t="s">
        <v>3693</v>
      </c>
      <c r="J517" s="18" t="s">
        <v>3694</v>
      </c>
      <c r="K517" s="18" t="s">
        <v>330</v>
      </c>
      <c r="L517" s="19" t="s">
        <v>1297</v>
      </c>
    </row>
    <row r="518" spans="1:12" ht="18" customHeight="1">
      <c r="A518" s="16" t="s">
        <v>3695</v>
      </c>
      <c r="B518" s="17" t="s">
        <v>3696</v>
      </c>
      <c r="C518" s="18" t="s">
        <v>56</v>
      </c>
      <c r="D518" s="18" t="s">
        <v>3697</v>
      </c>
      <c r="E518" s="18" t="s">
        <v>3698</v>
      </c>
      <c r="F518" s="18" t="s">
        <v>2961</v>
      </c>
      <c r="G518" s="18" t="s">
        <v>60</v>
      </c>
      <c r="H518" s="18" t="s">
        <v>253</v>
      </c>
      <c r="I518" s="18" t="s">
        <v>3699</v>
      </c>
      <c r="J518" s="18" t="s">
        <v>3700</v>
      </c>
      <c r="K518" s="18" t="s">
        <v>1217</v>
      </c>
      <c r="L518" s="19" t="s">
        <v>3701</v>
      </c>
    </row>
    <row r="519" spans="1:12" ht="18" customHeight="1">
      <c r="A519" s="16" t="s">
        <v>3702</v>
      </c>
      <c r="B519" s="17" t="s">
        <v>3703</v>
      </c>
      <c r="C519" s="18" t="s">
        <v>56</v>
      </c>
      <c r="D519" s="18" t="s">
        <v>3704</v>
      </c>
      <c r="E519" s="18" t="s">
        <v>3705</v>
      </c>
      <c r="F519" s="18" t="s">
        <v>2961</v>
      </c>
      <c r="G519" s="18" t="s">
        <v>60</v>
      </c>
      <c r="H519" s="18" t="s">
        <v>632</v>
      </c>
      <c r="I519" s="18" t="s">
        <v>3706</v>
      </c>
      <c r="J519" s="18" t="s">
        <v>3707</v>
      </c>
      <c r="K519" s="18" t="s">
        <v>915</v>
      </c>
      <c r="L519" s="19">
        <v>44680</v>
      </c>
    </row>
    <row r="520" spans="1:12" ht="18" customHeight="1">
      <c r="A520" s="16" t="s">
        <v>3708</v>
      </c>
      <c r="B520" s="17" t="s">
        <v>3709</v>
      </c>
      <c r="C520" s="18" t="s">
        <v>56</v>
      </c>
      <c r="D520" s="18" t="s">
        <v>3710</v>
      </c>
      <c r="E520" s="18" t="s">
        <v>3711</v>
      </c>
      <c r="F520" s="18" t="s">
        <v>2961</v>
      </c>
      <c r="G520" s="18" t="s">
        <v>60</v>
      </c>
      <c r="H520" s="18" t="s">
        <v>253</v>
      </c>
      <c r="I520" s="18" t="s">
        <v>3712</v>
      </c>
      <c r="J520" s="18" t="s">
        <v>3713</v>
      </c>
      <c r="K520" s="18" t="s">
        <v>1217</v>
      </c>
      <c r="L520" s="19">
        <v>4030</v>
      </c>
    </row>
    <row r="521" spans="1:12" ht="18" customHeight="1">
      <c r="A521" s="16" t="s">
        <v>3714</v>
      </c>
      <c r="B521" s="17" t="s">
        <v>2736</v>
      </c>
      <c r="C521" s="18" t="s">
        <v>56</v>
      </c>
      <c r="D521" s="18" t="s">
        <v>3715</v>
      </c>
      <c r="E521" s="18" t="s">
        <v>3716</v>
      </c>
      <c r="F521" s="18" t="s">
        <v>350</v>
      </c>
      <c r="G521" s="18" t="s">
        <v>60</v>
      </c>
      <c r="H521" s="18" t="s">
        <v>253</v>
      </c>
      <c r="I521" s="18" t="s">
        <v>3717</v>
      </c>
      <c r="J521" s="18" t="s">
        <v>3718</v>
      </c>
      <c r="K521" s="18" t="s">
        <v>1028</v>
      </c>
      <c r="L521" s="19">
        <v>14070</v>
      </c>
    </row>
    <row r="522" spans="1:12" ht="18" customHeight="1">
      <c r="A522" s="16" t="s">
        <v>3719</v>
      </c>
      <c r="B522" s="17" t="s">
        <v>3720</v>
      </c>
      <c r="C522" s="18" t="s">
        <v>56</v>
      </c>
      <c r="D522" s="18" t="s">
        <v>3721</v>
      </c>
      <c r="E522" s="18" t="s">
        <v>3722</v>
      </c>
      <c r="F522" s="18" t="s">
        <v>350</v>
      </c>
      <c r="G522" s="18" t="s">
        <v>60</v>
      </c>
      <c r="H522" s="18" t="s">
        <v>106</v>
      </c>
      <c r="I522" s="18" t="s">
        <v>3723</v>
      </c>
      <c r="J522" s="18" t="s">
        <v>3724</v>
      </c>
      <c r="K522" s="18" t="s">
        <v>289</v>
      </c>
      <c r="L522" s="19">
        <v>27000</v>
      </c>
    </row>
    <row r="523" spans="1:12" ht="18" customHeight="1">
      <c r="A523" s="16" t="s">
        <v>3725</v>
      </c>
      <c r="B523" s="17" t="s">
        <v>3726</v>
      </c>
      <c r="C523" s="18" t="s">
        <v>56</v>
      </c>
      <c r="D523" s="18" t="s">
        <v>3727</v>
      </c>
      <c r="E523" s="18" t="s">
        <v>3728</v>
      </c>
      <c r="F523" s="18" t="s">
        <v>350</v>
      </c>
      <c r="G523" s="18" t="s">
        <v>60</v>
      </c>
      <c r="H523" s="18" t="s">
        <v>253</v>
      </c>
      <c r="I523" s="18" t="s">
        <v>3729</v>
      </c>
      <c r="J523" s="18" t="s">
        <v>3730</v>
      </c>
      <c r="K523" s="18" t="s">
        <v>330</v>
      </c>
      <c r="L523" s="19" t="s">
        <v>3731</v>
      </c>
    </row>
    <row r="524" spans="1:12" ht="18" customHeight="1">
      <c r="A524" s="16" t="s">
        <v>3732</v>
      </c>
      <c r="B524" s="17" t="s">
        <v>3733</v>
      </c>
      <c r="C524" s="18" t="s">
        <v>3734</v>
      </c>
      <c r="D524" s="18" t="s">
        <v>3735</v>
      </c>
      <c r="E524" s="18" t="s">
        <v>3736</v>
      </c>
      <c r="F524" s="18" t="s">
        <v>3737</v>
      </c>
      <c r="G524" s="18" t="s">
        <v>237</v>
      </c>
      <c r="H524" s="18" t="s">
        <v>136</v>
      </c>
      <c r="I524" s="18" t="s">
        <v>3738</v>
      </c>
      <c r="J524" s="18" t="s">
        <v>3739</v>
      </c>
      <c r="K524" s="18" t="s">
        <v>3740</v>
      </c>
      <c r="L524" s="19">
        <v>39610</v>
      </c>
    </row>
    <row r="525" spans="1:12" ht="18" customHeight="1">
      <c r="A525" s="16" t="s">
        <v>3741</v>
      </c>
      <c r="B525" s="17" t="s">
        <v>3742</v>
      </c>
      <c r="C525" s="18" t="s">
        <v>3743</v>
      </c>
      <c r="D525" s="18" t="s">
        <v>3744</v>
      </c>
      <c r="E525" s="18" t="s">
        <v>3745</v>
      </c>
      <c r="F525" s="18" t="s">
        <v>3737</v>
      </c>
      <c r="G525" s="18" t="s">
        <v>237</v>
      </c>
      <c r="H525" s="18" t="s">
        <v>294</v>
      </c>
      <c r="I525" s="18" t="s">
        <v>3746</v>
      </c>
      <c r="J525" s="18" t="s">
        <v>3747</v>
      </c>
      <c r="K525" s="18" t="s">
        <v>3748</v>
      </c>
      <c r="L525" s="19">
        <v>54916</v>
      </c>
    </row>
    <row r="526" spans="1:12" ht="18" customHeight="1">
      <c r="A526" s="16" t="s">
        <v>3749</v>
      </c>
      <c r="B526" s="17" t="s">
        <v>3750</v>
      </c>
      <c r="C526" s="18" t="s">
        <v>3751</v>
      </c>
      <c r="D526" s="18" t="s">
        <v>3752</v>
      </c>
      <c r="E526" s="18" t="s">
        <v>3753</v>
      </c>
      <c r="F526" s="18" t="s">
        <v>3737</v>
      </c>
      <c r="G526" s="18" t="s">
        <v>237</v>
      </c>
      <c r="H526" s="18" t="s">
        <v>351</v>
      </c>
      <c r="I526" s="18" t="s">
        <v>3754</v>
      </c>
      <c r="J526" s="18" t="s">
        <v>3755</v>
      </c>
      <c r="K526" s="18" t="s">
        <v>515</v>
      </c>
      <c r="L526" s="19">
        <v>62760</v>
      </c>
    </row>
    <row r="527" spans="1:12" ht="18" customHeight="1">
      <c r="A527" s="16" t="s">
        <v>3756</v>
      </c>
      <c r="B527" s="17" t="s">
        <v>3757</v>
      </c>
      <c r="C527" s="18" t="s">
        <v>3758</v>
      </c>
      <c r="D527" s="18" t="s">
        <v>3759</v>
      </c>
      <c r="E527" s="18" t="s">
        <v>3760</v>
      </c>
      <c r="F527" s="18" t="s">
        <v>3737</v>
      </c>
      <c r="G527" s="18" t="s">
        <v>237</v>
      </c>
      <c r="H527" s="18" t="s">
        <v>504</v>
      </c>
      <c r="I527" s="18" t="s">
        <v>3761</v>
      </c>
      <c r="J527" s="18" t="s">
        <v>3762</v>
      </c>
      <c r="K527" s="18" t="s">
        <v>894</v>
      </c>
      <c r="L527" s="19">
        <v>80000</v>
      </c>
    </row>
    <row r="528" spans="1:12" ht="18" customHeight="1">
      <c r="A528" s="16" t="s">
        <v>3763</v>
      </c>
      <c r="B528" s="17" t="s">
        <v>3764</v>
      </c>
      <c r="C528" s="18" t="s">
        <v>3765</v>
      </c>
      <c r="D528" s="18" t="s">
        <v>3766</v>
      </c>
      <c r="E528" s="18" t="s">
        <v>3767</v>
      </c>
      <c r="F528" s="18" t="s">
        <v>3737</v>
      </c>
      <c r="G528" s="18" t="s">
        <v>237</v>
      </c>
      <c r="H528" s="18" t="s">
        <v>253</v>
      </c>
      <c r="I528" s="18" t="s">
        <v>3768</v>
      </c>
      <c r="J528" s="18" t="s">
        <v>3769</v>
      </c>
      <c r="K528" s="18" t="s">
        <v>1277</v>
      </c>
      <c r="L528" s="19" t="s">
        <v>1278</v>
      </c>
    </row>
    <row r="529" spans="1:12" ht="18" customHeight="1">
      <c r="A529" s="16" t="s">
        <v>3770</v>
      </c>
      <c r="B529" s="17" t="s">
        <v>3771</v>
      </c>
      <c r="C529" s="18" t="s">
        <v>10436</v>
      </c>
      <c r="D529" s="18" t="s">
        <v>3772</v>
      </c>
      <c r="E529" s="18" t="s">
        <v>3773</v>
      </c>
      <c r="F529" s="18" t="s">
        <v>3737</v>
      </c>
      <c r="G529" s="18" t="s">
        <v>237</v>
      </c>
      <c r="H529" s="18" t="s">
        <v>128</v>
      </c>
      <c r="I529" s="18" t="s">
        <v>3774</v>
      </c>
      <c r="J529" s="18" t="s">
        <v>3775</v>
      </c>
      <c r="K529" s="18" t="s">
        <v>3070</v>
      </c>
      <c r="L529" s="19">
        <v>37520</v>
      </c>
    </row>
    <row r="530" spans="1:12" ht="18" customHeight="1">
      <c r="A530" s="16" t="s">
        <v>3776</v>
      </c>
      <c r="B530" s="17" t="s">
        <v>3777</v>
      </c>
      <c r="C530" s="18" t="s">
        <v>3778</v>
      </c>
      <c r="D530" s="18" t="s">
        <v>3779</v>
      </c>
      <c r="E530" s="18" t="s">
        <v>3780</v>
      </c>
      <c r="F530" s="18" t="s">
        <v>3737</v>
      </c>
      <c r="G530" s="18" t="s">
        <v>237</v>
      </c>
      <c r="H530" s="18" t="s">
        <v>253</v>
      </c>
      <c r="I530" s="18" t="s">
        <v>3781</v>
      </c>
      <c r="J530" s="18" t="s">
        <v>1225</v>
      </c>
      <c r="K530" s="18" t="s">
        <v>1226</v>
      </c>
      <c r="L530" s="19">
        <v>1030</v>
      </c>
    </row>
    <row r="531" spans="1:12" ht="18" customHeight="1">
      <c r="A531" s="16" t="s">
        <v>3782</v>
      </c>
      <c r="B531" s="17" t="s">
        <v>3783</v>
      </c>
      <c r="C531" s="18" t="s">
        <v>3784</v>
      </c>
      <c r="D531" s="18" t="s">
        <v>3785</v>
      </c>
      <c r="E531" s="18" t="s">
        <v>3786</v>
      </c>
      <c r="F531" s="18" t="s">
        <v>3737</v>
      </c>
      <c r="G531" s="18" t="s">
        <v>237</v>
      </c>
      <c r="H531" s="18" t="s">
        <v>144</v>
      </c>
      <c r="I531" s="18" t="s">
        <v>3787</v>
      </c>
      <c r="J531" s="18" t="s">
        <v>10442</v>
      </c>
      <c r="K531" s="18" t="s">
        <v>147</v>
      </c>
      <c r="L531" s="19">
        <v>97219</v>
      </c>
    </row>
    <row r="532" spans="1:12" ht="18" customHeight="1">
      <c r="A532" s="16" t="s">
        <v>3788</v>
      </c>
      <c r="B532" s="17" t="s">
        <v>3789</v>
      </c>
      <c r="C532" s="18" t="s">
        <v>3790</v>
      </c>
      <c r="D532" s="18" t="s">
        <v>3791</v>
      </c>
      <c r="E532" s="18" t="s">
        <v>3792</v>
      </c>
      <c r="F532" s="18" t="s">
        <v>3737</v>
      </c>
      <c r="G532" s="18" t="s">
        <v>237</v>
      </c>
      <c r="H532" s="18" t="s">
        <v>160</v>
      </c>
      <c r="I532" s="18" t="s">
        <v>3793</v>
      </c>
      <c r="J532" s="18" t="s">
        <v>3794</v>
      </c>
      <c r="K532" s="18" t="s">
        <v>930</v>
      </c>
      <c r="L532" s="19">
        <v>64380</v>
      </c>
    </row>
    <row r="533" spans="1:12" ht="18" customHeight="1">
      <c r="A533" s="16" t="s">
        <v>3795</v>
      </c>
      <c r="B533" s="17" t="s">
        <v>3796</v>
      </c>
      <c r="C533" s="18" t="s">
        <v>3797</v>
      </c>
      <c r="D533" s="18" t="s">
        <v>3798</v>
      </c>
      <c r="E533" s="18" t="s">
        <v>3799</v>
      </c>
      <c r="F533" s="18" t="s">
        <v>3737</v>
      </c>
      <c r="G533" s="18" t="s">
        <v>237</v>
      </c>
      <c r="H533" s="18" t="s">
        <v>1186</v>
      </c>
      <c r="I533" s="18" t="s">
        <v>3800</v>
      </c>
      <c r="J533" s="18" t="s">
        <v>3801</v>
      </c>
      <c r="K533" s="18" t="s">
        <v>1189</v>
      </c>
      <c r="L533" s="19">
        <v>58300</v>
      </c>
    </row>
    <row r="534" spans="1:12" ht="18" customHeight="1">
      <c r="A534" s="16" t="s">
        <v>3802</v>
      </c>
      <c r="B534" s="17" t="s">
        <v>3803</v>
      </c>
      <c r="C534" s="18" t="s">
        <v>3804</v>
      </c>
      <c r="D534" s="18" t="s">
        <v>3805</v>
      </c>
      <c r="E534" s="18" t="s">
        <v>3806</v>
      </c>
      <c r="F534" s="18" t="s">
        <v>3737</v>
      </c>
      <c r="G534" s="18" t="s">
        <v>237</v>
      </c>
      <c r="H534" s="18" t="s">
        <v>1153</v>
      </c>
      <c r="I534" s="18" t="s">
        <v>3807</v>
      </c>
      <c r="J534" s="18" t="s">
        <v>3808</v>
      </c>
      <c r="K534" s="18" t="s">
        <v>1153</v>
      </c>
      <c r="L534" s="19">
        <v>68040</v>
      </c>
    </row>
    <row r="535" spans="1:12" ht="18" customHeight="1">
      <c r="A535" s="16" t="s">
        <v>3809</v>
      </c>
      <c r="B535" s="17" t="s">
        <v>3810</v>
      </c>
      <c r="C535" s="18" t="s">
        <v>3811</v>
      </c>
      <c r="D535" s="18" t="s">
        <v>3812</v>
      </c>
      <c r="E535" s="18" t="s">
        <v>3813</v>
      </c>
      <c r="F535" s="18" t="s">
        <v>3737</v>
      </c>
      <c r="G535" s="18" t="s">
        <v>237</v>
      </c>
      <c r="H535" s="18" t="s">
        <v>253</v>
      </c>
      <c r="I535" s="18" t="s">
        <v>3814</v>
      </c>
      <c r="J535" s="18" t="s">
        <v>1239</v>
      </c>
      <c r="K535" s="18" t="s">
        <v>338</v>
      </c>
      <c r="L535" s="19" t="s">
        <v>3199</v>
      </c>
    </row>
    <row r="536" spans="1:12" ht="18" customHeight="1">
      <c r="A536" s="16" t="s">
        <v>3815</v>
      </c>
      <c r="B536" s="17" t="s">
        <v>3816</v>
      </c>
      <c r="C536" s="18" t="s">
        <v>3817</v>
      </c>
      <c r="D536" s="18" t="s">
        <v>3818</v>
      </c>
      <c r="E536" s="18" t="s">
        <v>3819</v>
      </c>
      <c r="F536" s="18" t="s">
        <v>3737</v>
      </c>
      <c r="G536" s="18" t="s">
        <v>237</v>
      </c>
      <c r="H536" s="18" t="s">
        <v>168</v>
      </c>
      <c r="I536" s="18" t="s">
        <v>3820</v>
      </c>
      <c r="J536" s="18" t="s">
        <v>3821</v>
      </c>
      <c r="K536" s="18" t="s">
        <v>168</v>
      </c>
      <c r="L536" s="19">
        <v>72570</v>
      </c>
    </row>
    <row r="537" spans="1:12" ht="18" customHeight="1">
      <c r="A537" s="16" t="s">
        <v>3822</v>
      </c>
      <c r="B537" s="17" t="s">
        <v>3823</v>
      </c>
      <c r="C537" s="18" t="s">
        <v>3824</v>
      </c>
      <c r="D537" s="18" t="s">
        <v>3825</v>
      </c>
      <c r="E537" s="18" t="s">
        <v>3826</v>
      </c>
      <c r="F537" s="18" t="s">
        <v>3737</v>
      </c>
      <c r="G537" s="18" t="s">
        <v>237</v>
      </c>
      <c r="H537" s="18" t="s">
        <v>632</v>
      </c>
      <c r="I537" s="18" t="s">
        <v>3827</v>
      </c>
      <c r="J537" s="18" t="s">
        <v>3828</v>
      </c>
      <c r="K537" s="18" t="s">
        <v>3829</v>
      </c>
      <c r="L537" s="19">
        <v>45640</v>
      </c>
    </row>
    <row r="538" spans="1:12" ht="18" customHeight="1">
      <c r="A538" s="16" t="s">
        <v>3830</v>
      </c>
      <c r="B538" s="17" t="s">
        <v>3831</v>
      </c>
      <c r="C538" s="18" t="s">
        <v>3832</v>
      </c>
      <c r="D538" s="18" t="s">
        <v>3833</v>
      </c>
      <c r="E538" s="18" t="s">
        <v>3834</v>
      </c>
      <c r="F538" s="18" t="s">
        <v>3737</v>
      </c>
      <c r="G538" s="18" t="s">
        <v>237</v>
      </c>
      <c r="H538" s="18" t="s">
        <v>106</v>
      </c>
      <c r="I538" s="18" t="s">
        <v>3835</v>
      </c>
      <c r="J538" s="18" t="s">
        <v>3836</v>
      </c>
      <c r="K538" s="18" t="s">
        <v>289</v>
      </c>
      <c r="L538" s="19">
        <v>27087</v>
      </c>
    </row>
    <row r="539" spans="1:12" ht="18" customHeight="1">
      <c r="A539" s="16" t="s">
        <v>3837</v>
      </c>
      <c r="B539" s="17" t="s">
        <v>3838</v>
      </c>
      <c r="C539" s="18" t="s">
        <v>3839</v>
      </c>
      <c r="D539" s="18" t="s">
        <v>3840</v>
      </c>
      <c r="E539" s="18" t="s">
        <v>3841</v>
      </c>
      <c r="F539" s="18" t="s">
        <v>3737</v>
      </c>
      <c r="G539" s="18" t="s">
        <v>237</v>
      </c>
      <c r="H539" s="18" t="s">
        <v>616</v>
      </c>
      <c r="I539" s="18" t="s">
        <v>3842</v>
      </c>
      <c r="J539" s="18" t="s">
        <v>3843</v>
      </c>
      <c r="K539" s="18" t="s">
        <v>616</v>
      </c>
      <c r="L539" s="19">
        <v>91918</v>
      </c>
    </row>
    <row r="540" spans="1:12" ht="18" customHeight="1">
      <c r="A540" s="16" t="s">
        <v>3844</v>
      </c>
      <c r="B540" s="17" t="s">
        <v>3845</v>
      </c>
      <c r="C540" s="18" t="s">
        <v>3846</v>
      </c>
      <c r="D540" s="18" t="s">
        <v>3847</v>
      </c>
      <c r="E540" s="18" t="s">
        <v>3848</v>
      </c>
      <c r="F540" s="18" t="s">
        <v>3849</v>
      </c>
      <c r="G540" s="18" t="s">
        <v>237</v>
      </c>
      <c r="H540" s="18" t="s">
        <v>68</v>
      </c>
      <c r="I540" s="18" t="s">
        <v>3850</v>
      </c>
      <c r="J540" s="18" t="s">
        <v>3851</v>
      </c>
      <c r="K540" s="18" t="s">
        <v>71</v>
      </c>
      <c r="L540" s="19">
        <v>21000</v>
      </c>
    </row>
    <row r="541" spans="1:12" ht="18" customHeight="1">
      <c r="A541" s="16" t="s">
        <v>3852</v>
      </c>
      <c r="B541" s="17" t="s">
        <v>3853</v>
      </c>
      <c r="C541" s="18" t="s">
        <v>3854</v>
      </c>
      <c r="D541" s="18" t="s">
        <v>3855</v>
      </c>
      <c r="E541" s="18" t="s">
        <v>3856</v>
      </c>
      <c r="F541" s="18" t="s">
        <v>3849</v>
      </c>
      <c r="G541" s="18" t="s">
        <v>237</v>
      </c>
      <c r="H541" s="18" t="s">
        <v>136</v>
      </c>
      <c r="I541" s="18" t="s">
        <v>3857</v>
      </c>
      <c r="J541" s="18" t="s">
        <v>3858</v>
      </c>
      <c r="K541" s="18" t="s">
        <v>139</v>
      </c>
      <c r="L541" s="19">
        <v>39610</v>
      </c>
    </row>
    <row r="542" spans="1:12" ht="18" customHeight="1">
      <c r="A542" s="16" t="s">
        <v>3859</v>
      </c>
      <c r="B542" s="17" t="s">
        <v>3860</v>
      </c>
      <c r="C542" s="18" t="s">
        <v>3861</v>
      </c>
      <c r="D542" s="18" t="s">
        <v>3862</v>
      </c>
      <c r="E542" s="18" t="s">
        <v>3863</v>
      </c>
      <c r="F542" s="18" t="s">
        <v>3849</v>
      </c>
      <c r="G542" s="18" t="s">
        <v>237</v>
      </c>
      <c r="H542" s="18" t="s">
        <v>61</v>
      </c>
      <c r="I542" s="18" t="s">
        <v>3864</v>
      </c>
      <c r="J542" s="18" t="s">
        <v>3865</v>
      </c>
      <c r="K542" s="18" t="s">
        <v>61</v>
      </c>
      <c r="L542" s="19">
        <v>20010</v>
      </c>
    </row>
    <row r="543" spans="1:12" ht="18" customHeight="1">
      <c r="A543" s="16" t="s">
        <v>3866</v>
      </c>
      <c r="B543" s="17" t="s">
        <v>3867</v>
      </c>
      <c r="C543" s="18" t="s">
        <v>3868</v>
      </c>
      <c r="D543" s="18" t="s">
        <v>3869</v>
      </c>
      <c r="E543" s="18" t="s">
        <v>3870</v>
      </c>
      <c r="F543" s="18" t="s">
        <v>3849</v>
      </c>
      <c r="G543" s="18" t="s">
        <v>237</v>
      </c>
      <c r="H543" s="18" t="s">
        <v>99</v>
      </c>
      <c r="I543" s="18" t="s">
        <v>3871</v>
      </c>
      <c r="J543" s="18" t="s">
        <v>3872</v>
      </c>
      <c r="K543" s="18" t="s">
        <v>2013</v>
      </c>
      <c r="L543" s="19">
        <v>32310</v>
      </c>
    </row>
    <row r="544" spans="1:12" ht="18" customHeight="1">
      <c r="A544" s="16" t="s">
        <v>3873</v>
      </c>
      <c r="B544" s="17" t="s">
        <v>3874</v>
      </c>
      <c r="C544" s="18" t="s">
        <v>3875</v>
      </c>
      <c r="D544" s="18" t="s">
        <v>3876</v>
      </c>
      <c r="E544" s="18" t="s">
        <v>3877</v>
      </c>
      <c r="F544" s="18" t="s">
        <v>3849</v>
      </c>
      <c r="G544" s="18" t="s">
        <v>237</v>
      </c>
      <c r="H544" s="18" t="s">
        <v>91</v>
      </c>
      <c r="I544" s="18" t="s">
        <v>3878</v>
      </c>
      <c r="J544" s="18" t="s">
        <v>3879</v>
      </c>
      <c r="K544" s="18" t="s">
        <v>94</v>
      </c>
      <c r="L544" s="19">
        <v>29070</v>
      </c>
    </row>
    <row r="545" spans="1:12" ht="18" customHeight="1">
      <c r="A545" s="16" t="s">
        <v>3880</v>
      </c>
      <c r="B545" s="17" t="s">
        <v>3881</v>
      </c>
      <c r="C545" s="18" t="s">
        <v>3882</v>
      </c>
      <c r="D545" s="18" t="s">
        <v>3883</v>
      </c>
      <c r="E545" s="18" t="s">
        <v>3884</v>
      </c>
      <c r="F545" s="18" t="s">
        <v>3849</v>
      </c>
      <c r="G545" s="18" t="s">
        <v>237</v>
      </c>
      <c r="H545" s="18" t="s">
        <v>253</v>
      </c>
      <c r="I545" s="18" t="s">
        <v>3885</v>
      </c>
      <c r="J545" s="18" t="s">
        <v>3886</v>
      </c>
      <c r="K545" s="18" t="s">
        <v>330</v>
      </c>
      <c r="L545" s="19" t="s">
        <v>3731</v>
      </c>
    </row>
    <row r="546" spans="1:12" ht="18" customHeight="1">
      <c r="A546" s="16" t="s">
        <v>3887</v>
      </c>
      <c r="B546" s="17" t="s">
        <v>3888</v>
      </c>
      <c r="C546" s="18" t="s">
        <v>3889</v>
      </c>
      <c r="D546" s="18" t="s">
        <v>3890</v>
      </c>
      <c r="E546" s="18" t="s">
        <v>3891</v>
      </c>
      <c r="F546" s="18" t="s">
        <v>3849</v>
      </c>
      <c r="G546" s="18" t="s">
        <v>237</v>
      </c>
      <c r="H546" s="18" t="s">
        <v>106</v>
      </c>
      <c r="I546" s="18" t="s">
        <v>3892</v>
      </c>
      <c r="J546" s="18" t="s">
        <v>3893</v>
      </c>
      <c r="K546" s="18" t="s">
        <v>289</v>
      </c>
      <c r="L546" s="19">
        <v>27000</v>
      </c>
    </row>
    <row r="547" spans="1:12" ht="18" customHeight="1">
      <c r="A547" s="16" t="s">
        <v>3894</v>
      </c>
      <c r="B547" s="17" t="s">
        <v>3895</v>
      </c>
      <c r="C547" s="18" t="s">
        <v>3896</v>
      </c>
      <c r="D547" s="18" t="s">
        <v>3897</v>
      </c>
      <c r="E547" s="18" t="s">
        <v>3898</v>
      </c>
      <c r="F547" s="18" t="s">
        <v>3849</v>
      </c>
      <c r="G547" s="18" t="s">
        <v>237</v>
      </c>
      <c r="H547" s="18" t="s">
        <v>197</v>
      </c>
      <c r="I547" s="18" t="s">
        <v>3899</v>
      </c>
      <c r="J547" s="18" t="s">
        <v>3900</v>
      </c>
      <c r="K547" s="18" t="s">
        <v>200</v>
      </c>
      <c r="L547" s="19">
        <v>83150</v>
      </c>
    </row>
    <row r="548" spans="1:12" ht="18" customHeight="1">
      <c r="A548" s="16" t="s">
        <v>3901</v>
      </c>
      <c r="B548" s="17" t="s">
        <v>3902</v>
      </c>
      <c r="C548" s="18" t="s">
        <v>3903</v>
      </c>
      <c r="D548" s="18" t="s">
        <v>3904</v>
      </c>
      <c r="E548" s="18" t="s">
        <v>3905</v>
      </c>
      <c r="F548" s="18" t="s">
        <v>3849</v>
      </c>
      <c r="G548" s="18" t="s">
        <v>237</v>
      </c>
      <c r="H548" s="18" t="s">
        <v>253</v>
      </c>
      <c r="I548" s="18" t="s">
        <v>3906</v>
      </c>
      <c r="J548" s="18" t="s">
        <v>3907</v>
      </c>
      <c r="K548" s="18" t="s">
        <v>1226</v>
      </c>
      <c r="L548" s="19" t="s">
        <v>3908</v>
      </c>
    </row>
    <row r="549" spans="1:12" ht="18" customHeight="1">
      <c r="A549" s="16" t="s">
        <v>3909</v>
      </c>
      <c r="B549" s="17" t="s">
        <v>3910</v>
      </c>
      <c r="C549" s="18" t="s">
        <v>3911</v>
      </c>
      <c r="D549" s="18" t="s">
        <v>3912</v>
      </c>
      <c r="E549" s="18" t="s">
        <v>3913</v>
      </c>
      <c r="F549" s="18" t="s">
        <v>3849</v>
      </c>
      <c r="G549" s="18" t="s">
        <v>237</v>
      </c>
      <c r="H549" s="18" t="s">
        <v>121</v>
      </c>
      <c r="I549" s="18" t="s">
        <v>3914</v>
      </c>
      <c r="J549" s="18" t="s">
        <v>3915</v>
      </c>
      <c r="K549" s="18" t="s">
        <v>121</v>
      </c>
      <c r="L549" s="19">
        <v>34079</v>
      </c>
    </row>
    <row r="550" spans="1:12" ht="18" customHeight="1">
      <c r="A550" s="16" t="s">
        <v>3916</v>
      </c>
      <c r="B550" s="17" t="s">
        <v>3917</v>
      </c>
      <c r="C550" s="18" t="s">
        <v>3918</v>
      </c>
      <c r="D550" s="18" t="s">
        <v>3919</v>
      </c>
      <c r="E550" s="18" t="s">
        <v>3920</v>
      </c>
      <c r="F550" s="18" t="s">
        <v>3849</v>
      </c>
      <c r="G550" s="18" t="s">
        <v>237</v>
      </c>
      <c r="H550" s="18" t="s">
        <v>583</v>
      </c>
      <c r="I550" s="18" t="s">
        <v>3921</v>
      </c>
      <c r="J550" s="18" t="s">
        <v>3922</v>
      </c>
      <c r="K550" s="18" t="s">
        <v>3923</v>
      </c>
      <c r="L550" s="19">
        <v>92080</v>
      </c>
    </row>
    <row r="551" spans="1:12" ht="18" customHeight="1">
      <c r="A551" s="16" t="s">
        <v>3924</v>
      </c>
      <c r="B551" s="17" t="s">
        <v>3925</v>
      </c>
      <c r="C551" s="18" t="s">
        <v>3926</v>
      </c>
      <c r="D551" s="18" t="s">
        <v>3927</v>
      </c>
      <c r="E551" s="18" t="s">
        <v>3928</v>
      </c>
      <c r="F551" s="18" t="s">
        <v>3849</v>
      </c>
      <c r="G551" s="18" t="s">
        <v>237</v>
      </c>
      <c r="H551" s="18" t="s">
        <v>68</v>
      </c>
      <c r="I551" s="18" t="s">
        <v>3929</v>
      </c>
      <c r="J551" s="18" t="s">
        <v>3930</v>
      </c>
      <c r="K551" s="18" t="s">
        <v>2314</v>
      </c>
      <c r="L551" s="19">
        <v>22440</v>
      </c>
    </row>
    <row r="552" spans="1:12" ht="18" customHeight="1">
      <c r="A552" s="16" t="s">
        <v>3931</v>
      </c>
      <c r="B552" s="17" t="s">
        <v>3932</v>
      </c>
      <c r="C552" s="18" t="s">
        <v>3933</v>
      </c>
      <c r="D552" s="18" t="s">
        <v>3934</v>
      </c>
      <c r="E552" s="18" t="s">
        <v>3935</v>
      </c>
      <c r="F552" s="18" t="s">
        <v>3849</v>
      </c>
      <c r="G552" s="18" t="s">
        <v>237</v>
      </c>
      <c r="H552" s="18" t="s">
        <v>253</v>
      </c>
      <c r="I552" s="18" t="s">
        <v>3936</v>
      </c>
      <c r="J552" s="18" t="s">
        <v>3937</v>
      </c>
      <c r="K552" s="18" t="s">
        <v>1277</v>
      </c>
      <c r="L552" s="19" t="s">
        <v>3938</v>
      </c>
    </row>
    <row r="553" spans="1:12" ht="18" customHeight="1">
      <c r="A553" s="16" t="s">
        <v>3939</v>
      </c>
      <c r="B553" s="17" t="s">
        <v>3940</v>
      </c>
      <c r="C553" s="18" t="s">
        <v>3941</v>
      </c>
      <c r="D553" s="18" t="s">
        <v>3942</v>
      </c>
      <c r="E553" s="18" t="s">
        <v>3943</v>
      </c>
      <c r="F553" s="18" t="s">
        <v>3849</v>
      </c>
      <c r="G553" s="18" t="s">
        <v>237</v>
      </c>
      <c r="H553" s="18" t="s">
        <v>76</v>
      </c>
      <c r="I553" s="18" t="s">
        <v>3944</v>
      </c>
      <c r="J553" s="18" t="s">
        <v>3945</v>
      </c>
      <c r="K553" s="18" t="s">
        <v>76</v>
      </c>
      <c r="L553" s="19">
        <v>23090</v>
      </c>
    </row>
    <row r="554" spans="1:12" ht="18" customHeight="1">
      <c r="A554" s="16" t="s">
        <v>3946</v>
      </c>
      <c r="B554" s="17" t="s">
        <v>3947</v>
      </c>
      <c r="C554" s="18" t="s">
        <v>3948</v>
      </c>
      <c r="D554" s="18" t="s">
        <v>3949</v>
      </c>
      <c r="E554" s="18" t="s">
        <v>3950</v>
      </c>
      <c r="F554" s="18" t="s">
        <v>3849</v>
      </c>
      <c r="G554" s="18" t="s">
        <v>237</v>
      </c>
      <c r="H554" s="18" t="s">
        <v>99</v>
      </c>
      <c r="I554" s="18" t="s">
        <v>3951</v>
      </c>
      <c r="J554" s="18" t="s">
        <v>3952</v>
      </c>
      <c r="K554" s="18" t="s">
        <v>99</v>
      </c>
      <c r="L554" s="19">
        <v>31000</v>
      </c>
    </row>
    <row r="555" spans="1:12" ht="18" customHeight="1">
      <c r="A555" s="16" t="s">
        <v>3953</v>
      </c>
      <c r="B555" s="17" t="s">
        <v>3954</v>
      </c>
      <c r="C555" s="18" t="s">
        <v>3955</v>
      </c>
      <c r="D555" s="18" t="s">
        <v>3956</v>
      </c>
      <c r="E555" s="18" t="s">
        <v>3957</v>
      </c>
      <c r="F555" s="18" t="s">
        <v>3849</v>
      </c>
      <c r="G555" s="18" t="s">
        <v>237</v>
      </c>
      <c r="H555" s="18" t="s">
        <v>175</v>
      </c>
      <c r="I555" s="18" t="s">
        <v>3958</v>
      </c>
      <c r="J555" s="18" t="s">
        <v>3959</v>
      </c>
      <c r="K555" s="18" t="s">
        <v>175</v>
      </c>
      <c r="L555" s="19">
        <v>76000</v>
      </c>
    </row>
    <row r="556" spans="1:12" ht="18" customHeight="1">
      <c r="A556" s="16" t="s">
        <v>3960</v>
      </c>
      <c r="B556" s="17" t="s">
        <v>3961</v>
      </c>
      <c r="C556" s="18" t="s">
        <v>3962</v>
      </c>
      <c r="D556" s="18" t="s">
        <v>3963</v>
      </c>
      <c r="E556" s="18" t="s">
        <v>3964</v>
      </c>
      <c r="F556" s="18" t="s">
        <v>3849</v>
      </c>
      <c r="G556" s="18" t="s">
        <v>237</v>
      </c>
      <c r="H556" s="18" t="s">
        <v>106</v>
      </c>
      <c r="I556" s="18" t="s">
        <v>3965</v>
      </c>
      <c r="J556" s="18" t="s">
        <v>3966</v>
      </c>
      <c r="K556" s="18" t="s">
        <v>109</v>
      </c>
      <c r="L556" s="19">
        <v>25000</v>
      </c>
    </row>
    <row r="557" spans="1:12" ht="18" customHeight="1">
      <c r="A557" s="16" t="s">
        <v>3967</v>
      </c>
      <c r="B557" s="17" t="s">
        <v>3968</v>
      </c>
      <c r="C557" s="18" t="s">
        <v>3969</v>
      </c>
      <c r="D557" s="18" t="s">
        <v>3970</v>
      </c>
      <c r="E557" s="18" t="s">
        <v>3971</v>
      </c>
      <c r="F557" s="18" t="s">
        <v>3849</v>
      </c>
      <c r="G557" s="18" t="s">
        <v>237</v>
      </c>
      <c r="H557" s="18" t="s">
        <v>190</v>
      </c>
      <c r="I557" s="18" t="s">
        <v>3972</v>
      </c>
      <c r="J557" s="18" t="s">
        <v>3973</v>
      </c>
      <c r="K557" s="18" t="s">
        <v>190</v>
      </c>
      <c r="L557" s="19">
        <v>78340</v>
      </c>
    </row>
    <row r="558" spans="1:12" ht="18" customHeight="1">
      <c r="A558" s="16" t="s">
        <v>3974</v>
      </c>
      <c r="B558" s="17" t="s">
        <v>3975</v>
      </c>
      <c r="C558" s="18" t="s">
        <v>3976</v>
      </c>
      <c r="D558" s="18" t="s">
        <v>3977</v>
      </c>
      <c r="E558" s="18" t="s">
        <v>3978</v>
      </c>
      <c r="F558" s="18" t="s">
        <v>3849</v>
      </c>
      <c r="G558" s="18" t="s">
        <v>237</v>
      </c>
      <c r="H558" s="18" t="s">
        <v>253</v>
      </c>
      <c r="I558" s="18" t="s">
        <v>3979</v>
      </c>
      <c r="J558" s="18" t="s">
        <v>3980</v>
      </c>
      <c r="K558" s="18" t="s">
        <v>1060</v>
      </c>
      <c r="L558" s="19">
        <v>11410</v>
      </c>
    </row>
    <row r="559" spans="1:12" ht="18" customHeight="1">
      <c r="A559" s="16" t="s">
        <v>3981</v>
      </c>
      <c r="B559" s="17" t="s">
        <v>3982</v>
      </c>
      <c r="C559" s="18" t="s">
        <v>3983</v>
      </c>
      <c r="D559" s="18" t="s">
        <v>3984</v>
      </c>
      <c r="E559" s="18" t="s">
        <v>3985</v>
      </c>
      <c r="F559" s="18" t="s">
        <v>3849</v>
      </c>
      <c r="G559" s="18" t="s">
        <v>237</v>
      </c>
      <c r="H559" s="18" t="s">
        <v>213</v>
      </c>
      <c r="I559" s="18" t="s">
        <v>3986</v>
      </c>
      <c r="J559" s="18" t="s">
        <v>3987</v>
      </c>
      <c r="K559" s="18" t="s">
        <v>2687</v>
      </c>
      <c r="L559" s="19">
        <v>89367</v>
      </c>
    </row>
    <row r="560" spans="1:12" ht="18" customHeight="1">
      <c r="A560" s="16" t="s">
        <v>3988</v>
      </c>
      <c r="B560" s="17">
        <v>2765</v>
      </c>
      <c r="C560" s="18" t="s">
        <v>3989</v>
      </c>
      <c r="D560" s="18" t="s">
        <v>3990</v>
      </c>
      <c r="E560" s="18" t="s">
        <v>3991</v>
      </c>
      <c r="F560" s="18" t="s">
        <v>3849</v>
      </c>
      <c r="G560" s="18" t="s">
        <v>237</v>
      </c>
      <c r="H560" s="18" t="s">
        <v>213</v>
      </c>
      <c r="I560" s="18" t="s">
        <v>3992</v>
      </c>
      <c r="J560" s="18" t="s">
        <v>3993</v>
      </c>
      <c r="K560" s="18" t="s">
        <v>2687</v>
      </c>
      <c r="L560" s="19">
        <v>89130</v>
      </c>
    </row>
    <row r="561" spans="1:12" ht="18" customHeight="1">
      <c r="A561" s="16" t="s">
        <v>10460</v>
      </c>
      <c r="B561" s="17" t="s">
        <v>241</v>
      </c>
      <c r="C561" s="18" t="s">
        <v>242</v>
      </c>
      <c r="D561" s="18" t="s">
        <v>243</v>
      </c>
      <c r="E561" s="18" t="s">
        <v>10461</v>
      </c>
      <c r="F561" s="18" t="s">
        <v>3849</v>
      </c>
      <c r="G561" s="18" t="s">
        <v>237</v>
      </c>
      <c r="H561" s="18" t="s">
        <v>152</v>
      </c>
      <c r="I561" s="18" t="s">
        <v>10462</v>
      </c>
      <c r="J561" s="18" t="s">
        <v>246</v>
      </c>
      <c r="K561" s="18" t="s">
        <v>247</v>
      </c>
      <c r="L561" s="19">
        <v>63506</v>
      </c>
    </row>
    <row r="562" spans="1:12" ht="18" customHeight="1">
      <c r="A562" s="16" t="s">
        <v>3994</v>
      </c>
      <c r="B562" s="17" t="s">
        <v>3995</v>
      </c>
      <c r="C562" s="18" t="s">
        <v>3996</v>
      </c>
      <c r="D562" s="18" t="s">
        <v>3997</v>
      </c>
      <c r="E562" s="18" t="s">
        <v>3998</v>
      </c>
      <c r="F562" s="18" t="s">
        <v>3849</v>
      </c>
      <c r="G562" s="18" t="s">
        <v>237</v>
      </c>
      <c r="H562" s="18" t="s">
        <v>221</v>
      </c>
      <c r="I562" s="18" t="s">
        <v>3999</v>
      </c>
      <c r="J562" s="18" t="s">
        <v>4000</v>
      </c>
      <c r="K562" s="18" t="s">
        <v>221</v>
      </c>
      <c r="L562" s="19">
        <v>90070</v>
      </c>
    </row>
    <row r="563" spans="1:12" ht="18" customHeight="1">
      <c r="A563" s="16" t="s">
        <v>4001</v>
      </c>
      <c r="B563" s="17" t="s">
        <v>4002</v>
      </c>
      <c r="C563" s="18" t="s">
        <v>4003</v>
      </c>
      <c r="D563" s="18" t="s">
        <v>4004</v>
      </c>
      <c r="E563" s="18" t="s">
        <v>4005</v>
      </c>
      <c r="F563" s="18" t="s">
        <v>3849</v>
      </c>
      <c r="G563" s="18" t="s">
        <v>237</v>
      </c>
      <c r="H563" s="18" t="s">
        <v>294</v>
      </c>
      <c r="I563" s="18" t="s">
        <v>4006</v>
      </c>
      <c r="J563" s="18" t="s">
        <v>4007</v>
      </c>
      <c r="K563" s="18" t="s">
        <v>4008</v>
      </c>
      <c r="L563" s="19">
        <v>52140</v>
      </c>
    </row>
    <row r="564" spans="1:12" ht="18" customHeight="1">
      <c r="A564" s="16" t="s">
        <v>10457</v>
      </c>
      <c r="B564" s="17" t="s">
        <v>257</v>
      </c>
      <c r="C564" s="18" t="s">
        <v>258</v>
      </c>
      <c r="D564" s="18" t="s">
        <v>259</v>
      </c>
      <c r="E564" s="18" t="s">
        <v>10458</v>
      </c>
      <c r="F564" s="18" t="s">
        <v>3849</v>
      </c>
      <c r="G564" s="18" t="s">
        <v>237</v>
      </c>
      <c r="H564" s="18" t="s">
        <v>205</v>
      </c>
      <c r="I564" s="18" t="s">
        <v>10459</v>
      </c>
      <c r="J564" s="18" t="s">
        <v>260</v>
      </c>
      <c r="K564" s="18" t="s">
        <v>261</v>
      </c>
      <c r="L564" s="19">
        <v>86280</v>
      </c>
    </row>
    <row r="565" spans="1:12" ht="18" customHeight="1">
      <c r="A565" s="16" t="s">
        <v>4009</v>
      </c>
      <c r="B565" s="17" t="s">
        <v>4010</v>
      </c>
      <c r="C565" s="18" t="s">
        <v>4011</v>
      </c>
      <c r="D565" s="18" t="s">
        <v>4012</v>
      </c>
      <c r="E565" s="18" t="s">
        <v>4013</v>
      </c>
      <c r="F565" s="18" t="s">
        <v>3849</v>
      </c>
      <c r="G565" s="18" t="s">
        <v>237</v>
      </c>
      <c r="H565" s="18" t="s">
        <v>228</v>
      </c>
      <c r="I565" s="18" t="s">
        <v>4014</v>
      </c>
      <c r="J565" s="18" t="s">
        <v>4015</v>
      </c>
      <c r="K565" s="18" t="s">
        <v>228</v>
      </c>
      <c r="L565" s="19">
        <v>98000</v>
      </c>
    </row>
    <row r="566" spans="1:12" ht="18" customHeight="1">
      <c r="A566" s="16" t="s">
        <v>4016</v>
      </c>
      <c r="B566" s="17" t="s">
        <v>4017</v>
      </c>
      <c r="C566" s="18" t="s">
        <v>423</v>
      </c>
      <c r="D566" s="18" t="s">
        <v>4018</v>
      </c>
      <c r="E566" s="18" t="s">
        <v>4019</v>
      </c>
      <c r="F566" s="18" t="s">
        <v>3849</v>
      </c>
      <c r="G566" s="18" t="s">
        <v>237</v>
      </c>
      <c r="H566" s="18" t="s">
        <v>632</v>
      </c>
      <c r="I566" s="18" t="s">
        <v>4020</v>
      </c>
      <c r="J566" s="18" t="s">
        <v>4021</v>
      </c>
      <c r="K566" s="18" t="s">
        <v>938</v>
      </c>
      <c r="L566" s="19">
        <v>45150</v>
      </c>
    </row>
    <row r="567" spans="1:12" ht="18" customHeight="1">
      <c r="A567" s="16" t="s">
        <v>4022</v>
      </c>
      <c r="B567" s="17"/>
      <c r="C567" s="18" t="s">
        <v>56</v>
      </c>
      <c r="D567" s="18" t="s">
        <v>4023</v>
      </c>
      <c r="E567" s="18" t="s">
        <v>4024</v>
      </c>
      <c r="F567" s="18"/>
      <c r="G567" s="18" t="s">
        <v>60</v>
      </c>
      <c r="H567" s="18" t="s">
        <v>253</v>
      </c>
      <c r="I567" s="18" t="s">
        <v>4025</v>
      </c>
      <c r="J567" s="18" t="s">
        <v>371</v>
      </c>
      <c r="K567" s="18" t="s">
        <v>281</v>
      </c>
      <c r="L567" s="19" t="s">
        <v>372</v>
      </c>
    </row>
    <row r="568" spans="1:12" ht="18" customHeight="1">
      <c r="A568" s="16" t="s">
        <v>4026</v>
      </c>
      <c r="B568" s="17"/>
      <c r="C568" s="18" t="s">
        <v>56</v>
      </c>
      <c r="D568" s="18" t="s">
        <v>4023</v>
      </c>
      <c r="E568" s="18" t="s">
        <v>4027</v>
      </c>
      <c r="F568" s="18"/>
      <c r="G568" s="18" t="s">
        <v>60</v>
      </c>
      <c r="H568" s="18" t="s">
        <v>253</v>
      </c>
      <c r="I568" s="18" t="s">
        <v>4028</v>
      </c>
      <c r="J568" s="18" t="s">
        <v>371</v>
      </c>
      <c r="K568" s="18" t="s">
        <v>281</v>
      </c>
      <c r="L568" s="19" t="s">
        <v>372</v>
      </c>
    </row>
    <row r="569" spans="1:12" ht="18" customHeight="1">
      <c r="A569" s="16" t="s">
        <v>4029</v>
      </c>
      <c r="B569" s="17" t="s">
        <v>4030</v>
      </c>
      <c r="C569" s="18" t="s">
        <v>56</v>
      </c>
      <c r="D569" s="18" t="s">
        <v>4031</v>
      </c>
      <c r="E569" s="18" t="s">
        <v>4032</v>
      </c>
      <c r="F569" s="18" t="s">
        <v>350</v>
      </c>
      <c r="G569" s="18" t="s">
        <v>60</v>
      </c>
      <c r="H569" s="18" t="s">
        <v>253</v>
      </c>
      <c r="I569" s="18" t="s">
        <v>4033</v>
      </c>
      <c r="J569" s="18" t="s">
        <v>4034</v>
      </c>
      <c r="K569" s="18" t="s">
        <v>3473</v>
      </c>
      <c r="L569" s="19">
        <v>9810</v>
      </c>
    </row>
    <row r="570" spans="1:12" ht="18" customHeight="1">
      <c r="A570" s="16" t="s">
        <v>4035</v>
      </c>
      <c r="B570" s="17" t="s">
        <v>4036</v>
      </c>
      <c r="C570" s="18" t="s">
        <v>56</v>
      </c>
      <c r="D570" s="18" t="s">
        <v>4037</v>
      </c>
      <c r="E570" s="18" t="s">
        <v>4038</v>
      </c>
      <c r="F570" s="18" t="s">
        <v>4039</v>
      </c>
      <c r="G570" s="18" t="s">
        <v>60</v>
      </c>
      <c r="H570" s="18" t="s">
        <v>61</v>
      </c>
      <c r="I570" s="18" t="s">
        <v>4040</v>
      </c>
      <c r="J570" s="18" t="s">
        <v>4041</v>
      </c>
      <c r="K570" s="18" t="s">
        <v>61</v>
      </c>
      <c r="L570" s="19">
        <v>20000</v>
      </c>
    </row>
    <row r="571" spans="1:12" ht="18" customHeight="1">
      <c r="A571" s="16" t="s">
        <v>4042</v>
      </c>
      <c r="B571" s="17" t="s">
        <v>4043</v>
      </c>
      <c r="C571" s="18" t="s">
        <v>56</v>
      </c>
      <c r="D571" s="18" t="s">
        <v>350</v>
      </c>
      <c r="E571" s="18" t="s">
        <v>4044</v>
      </c>
      <c r="F571" s="18" t="s">
        <v>4039</v>
      </c>
      <c r="G571" s="18" t="s">
        <v>60</v>
      </c>
      <c r="H571" s="18" t="s">
        <v>144</v>
      </c>
      <c r="I571" s="18" t="s">
        <v>4045</v>
      </c>
      <c r="J571" s="18" t="s">
        <v>4046</v>
      </c>
      <c r="K571" s="18" t="s">
        <v>147</v>
      </c>
      <c r="L571" s="19">
        <v>97100</v>
      </c>
    </row>
    <row r="572" spans="1:12" ht="18" customHeight="1">
      <c r="A572" s="16" t="s">
        <v>4047</v>
      </c>
      <c r="B572" s="17" t="s">
        <v>4048</v>
      </c>
      <c r="C572" s="18" t="s">
        <v>56</v>
      </c>
      <c r="D572" s="18" t="s">
        <v>350</v>
      </c>
      <c r="E572" s="18" t="s">
        <v>4049</v>
      </c>
      <c r="F572" s="18" t="s">
        <v>4039</v>
      </c>
      <c r="G572" s="18" t="s">
        <v>60</v>
      </c>
      <c r="H572" s="18" t="s">
        <v>68</v>
      </c>
      <c r="I572" s="18" t="s">
        <v>4050</v>
      </c>
      <c r="J572" s="18" t="s">
        <v>4051</v>
      </c>
      <c r="K572" s="18" t="s">
        <v>71</v>
      </c>
      <c r="L572" s="19">
        <v>21270</v>
      </c>
    </row>
    <row r="573" spans="1:12" ht="18" customHeight="1">
      <c r="A573" s="16" t="s">
        <v>4052</v>
      </c>
      <c r="B573" s="17" t="s">
        <v>4053</v>
      </c>
      <c r="C573" s="18" t="s">
        <v>56</v>
      </c>
      <c r="D573" s="18" t="s">
        <v>350</v>
      </c>
      <c r="E573" s="18" t="s">
        <v>4054</v>
      </c>
      <c r="F573" s="18" t="s">
        <v>4039</v>
      </c>
      <c r="G573" s="18" t="s">
        <v>60</v>
      </c>
      <c r="H573" s="18" t="s">
        <v>106</v>
      </c>
      <c r="I573" s="18" t="s">
        <v>4055</v>
      </c>
      <c r="J573" s="18" t="s">
        <v>4056</v>
      </c>
      <c r="K573" s="18" t="s">
        <v>109</v>
      </c>
      <c r="L573" s="19">
        <v>25260</v>
      </c>
    </row>
    <row r="574" spans="1:12" ht="18" customHeight="1">
      <c r="A574" s="16" t="s">
        <v>4057</v>
      </c>
      <c r="B574" s="17" t="s">
        <v>4058</v>
      </c>
      <c r="C574" s="18" t="s">
        <v>56</v>
      </c>
      <c r="D574" s="18" t="s">
        <v>350</v>
      </c>
      <c r="E574" s="18" t="s">
        <v>4059</v>
      </c>
      <c r="F574" s="18" t="s">
        <v>4039</v>
      </c>
      <c r="G574" s="18" t="s">
        <v>60</v>
      </c>
      <c r="H574" s="18" t="s">
        <v>205</v>
      </c>
      <c r="I574" s="18" t="s">
        <v>4060</v>
      </c>
      <c r="J574" s="18" t="s">
        <v>4061</v>
      </c>
      <c r="K574" s="18" t="s">
        <v>208</v>
      </c>
      <c r="L574" s="19">
        <v>86079</v>
      </c>
    </row>
    <row r="575" spans="1:12" ht="18" customHeight="1">
      <c r="A575" s="16" t="s">
        <v>4062</v>
      </c>
      <c r="B575" s="17"/>
      <c r="C575" s="18" t="s">
        <v>56</v>
      </c>
      <c r="D575" s="18" t="s">
        <v>4063</v>
      </c>
      <c r="E575" s="18" t="s">
        <v>4064</v>
      </c>
      <c r="F575" s="18"/>
      <c r="G575" s="18" t="s">
        <v>60</v>
      </c>
      <c r="H575" s="18" t="s">
        <v>228</v>
      </c>
      <c r="I575" s="18" t="s">
        <v>4065</v>
      </c>
      <c r="J575" s="18" t="s">
        <v>4066</v>
      </c>
      <c r="K575" s="18" t="s">
        <v>163</v>
      </c>
      <c r="L575" s="19">
        <v>98604</v>
      </c>
    </row>
    <row r="576" spans="1:12" ht="18" customHeight="1">
      <c r="A576" s="16" t="s">
        <v>4067</v>
      </c>
      <c r="B576" s="17"/>
      <c r="C576" s="18" t="s">
        <v>56</v>
      </c>
      <c r="D576" s="18" t="s">
        <v>4068</v>
      </c>
      <c r="E576" s="18" t="s">
        <v>4069</v>
      </c>
      <c r="F576" s="18"/>
      <c r="G576" s="18" t="s">
        <v>60</v>
      </c>
      <c r="H576" s="18" t="s">
        <v>61</v>
      </c>
      <c r="I576" s="18" t="s">
        <v>4065</v>
      </c>
      <c r="J576" s="18" t="s">
        <v>4070</v>
      </c>
      <c r="K576" s="18" t="s">
        <v>61</v>
      </c>
      <c r="L576" s="19">
        <v>20239</v>
      </c>
    </row>
    <row r="577" spans="1:12" ht="18" customHeight="1">
      <c r="A577" s="16" t="s">
        <v>4071</v>
      </c>
      <c r="B577" s="17"/>
      <c r="C577" s="18" t="s">
        <v>56</v>
      </c>
      <c r="D577" s="18" t="s">
        <v>4072</v>
      </c>
      <c r="E577" s="18" t="s">
        <v>4073</v>
      </c>
      <c r="F577" s="18"/>
      <c r="G577" s="18" t="s">
        <v>60</v>
      </c>
      <c r="H577" s="18" t="s">
        <v>76</v>
      </c>
      <c r="I577" s="18" t="s">
        <v>4065</v>
      </c>
      <c r="J577" s="18" t="s">
        <v>4074</v>
      </c>
      <c r="K577" s="18" t="s">
        <v>79</v>
      </c>
      <c r="L577" s="19">
        <v>23040</v>
      </c>
    </row>
    <row r="578" spans="1:12" ht="18" customHeight="1">
      <c r="A578" s="16" t="s">
        <v>4075</v>
      </c>
      <c r="B578" s="17"/>
      <c r="C578" s="18" t="s">
        <v>56</v>
      </c>
      <c r="D578" s="18" t="s">
        <v>4076</v>
      </c>
      <c r="E578" s="18" t="s">
        <v>4077</v>
      </c>
      <c r="F578" s="18"/>
      <c r="G578" s="18" t="s">
        <v>60</v>
      </c>
      <c r="H578" s="18" t="s">
        <v>68</v>
      </c>
      <c r="I578" s="18" t="s">
        <v>4065</v>
      </c>
      <c r="J578" s="18" t="s">
        <v>4078</v>
      </c>
      <c r="K578" s="18" t="s">
        <v>71</v>
      </c>
      <c r="L578" s="19">
        <v>21259</v>
      </c>
    </row>
    <row r="579" spans="1:12" ht="18" customHeight="1">
      <c r="A579" s="16" t="s">
        <v>4079</v>
      </c>
      <c r="B579" s="17"/>
      <c r="C579" s="18" t="s">
        <v>56</v>
      </c>
      <c r="D579" s="18" t="s">
        <v>4080</v>
      </c>
      <c r="E579" s="18" t="s">
        <v>4081</v>
      </c>
      <c r="F579" s="18"/>
      <c r="G579" s="18" t="s">
        <v>60</v>
      </c>
      <c r="H579" s="18" t="s">
        <v>84</v>
      </c>
      <c r="I579" s="18" t="s">
        <v>4065</v>
      </c>
      <c r="J579" s="18" t="s">
        <v>4082</v>
      </c>
      <c r="K579" s="18" t="s">
        <v>84</v>
      </c>
      <c r="L579" s="19">
        <v>24010</v>
      </c>
    </row>
    <row r="580" spans="1:12" ht="18" customHeight="1">
      <c r="A580" s="16" t="s">
        <v>4083</v>
      </c>
      <c r="B580" s="17"/>
      <c r="C580" s="18" t="s">
        <v>56</v>
      </c>
      <c r="D580" s="18" t="s">
        <v>4084</v>
      </c>
      <c r="E580" s="18" t="s">
        <v>4085</v>
      </c>
      <c r="F580" s="18"/>
      <c r="G580" s="18" t="s">
        <v>60</v>
      </c>
      <c r="H580" s="18" t="s">
        <v>91</v>
      </c>
      <c r="I580" s="18" t="s">
        <v>4065</v>
      </c>
      <c r="J580" s="18" t="s">
        <v>4086</v>
      </c>
      <c r="K580" s="18" t="s">
        <v>94</v>
      </c>
      <c r="L580" s="19">
        <v>29034</v>
      </c>
    </row>
    <row r="581" spans="1:12" ht="18" customHeight="1">
      <c r="A581" s="16" t="s">
        <v>4087</v>
      </c>
      <c r="B581" s="17"/>
      <c r="C581" s="18" t="s">
        <v>56</v>
      </c>
      <c r="D581" s="18" t="s">
        <v>4088</v>
      </c>
      <c r="E581" s="18" t="s">
        <v>4089</v>
      </c>
      <c r="F581" s="18"/>
      <c r="G581" s="18" t="s">
        <v>60</v>
      </c>
      <c r="H581" s="18" t="s">
        <v>99</v>
      </c>
      <c r="I581" s="18" t="s">
        <v>4065</v>
      </c>
      <c r="J581" s="18" t="s">
        <v>4090</v>
      </c>
      <c r="K581" s="18" t="s">
        <v>99</v>
      </c>
      <c r="L581" s="19">
        <v>31200</v>
      </c>
    </row>
    <row r="582" spans="1:12" ht="18" customHeight="1">
      <c r="A582" s="16" t="s">
        <v>4091</v>
      </c>
      <c r="B582" s="17"/>
      <c r="C582" s="18" t="s">
        <v>56</v>
      </c>
      <c r="D582" s="18" t="s">
        <v>4092</v>
      </c>
      <c r="E582" s="18" t="s">
        <v>4093</v>
      </c>
      <c r="F582" s="18"/>
      <c r="G582" s="18" t="s">
        <v>60</v>
      </c>
      <c r="H582" s="18" t="s">
        <v>106</v>
      </c>
      <c r="I582" s="18" t="s">
        <v>4065</v>
      </c>
      <c r="J582" s="18" t="s">
        <v>4094</v>
      </c>
      <c r="K582" s="18" t="s">
        <v>109</v>
      </c>
      <c r="L582" s="19">
        <v>25000</v>
      </c>
    </row>
    <row r="583" spans="1:12" ht="18" customHeight="1">
      <c r="A583" s="16" t="s">
        <v>4095</v>
      </c>
      <c r="B583" s="17"/>
      <c r="C583" s="18" t="s">
        <v>56</v>
      </c>
      <c r="D583" s="18" t="s">
        <v>4096</v>
      </c>
      <c r="E583" s="18" t="s">
        <v>4097</v>
      </c>
      <c r="F583" s="18"/>
      <c r="G583" s="18" t="s">
        <v>60</v>
      </c>
      <c r="H583" s="18" t="s">
        <v>114</v>
      </c>
      <c r="I583" s="18" t="s">
        <v>4065</v>
      </c>
      <c r="J583" s="18" t="s">
        <v>4098</v>
      </c>
      <c r="K583" s="18" t="s">
        <v>114</v>
      </c>
      <c r="L583" s="19">
        <v>28017</v>
      </c>
    </row>
    <row r="584" spans="1:12" ht="18" customHeight="1">
      <c r="A584" s="16" t="s">
        <v>4099</v>
      </c>
      <c r="B584" s="17"/>
      <c r="C584" s="18" t="s">
        <v>56</v>
      </c>
      <c r="D584" s="18" t="s">
        <v>4100</v>
      </c>
      <c r="E584" s="18" t="s">
        <v>4101</v>
      </c>
      <c r="F584" s="18"/>
      <c r="G584" s="18" t="s">
        <v>60</v>
      </c>
      <c r="H584" s="18" t="s">
        <v>121</v>
      </c>
      <c r="I584" s="18" t="s">
        <v>4065</v>
      </c>
      <c r="J584" s="18" t="s">
        <v>4102</v>
      </c>
      <c r="K584" s="18" t="s">
        <v>121</v>
      </c>
      <c r="L584" s="19">
        <v>34270</v>
      </c>
    </row>
    <row r="585" spans="1:12" ht="18" customHeight="1">
      <c r="A585" s="16" t="s">
        <v>4103</v>
      </c>
      <c r="B585" s="17"/>
      <c r="C585" s="18" t="s">
        <v>56</v>
      </c>
      <c r="D585" s="18" t="s">
        <v>4104</v>
      </c>
      <c r="E585" s="18" t="s">
        <v>4105</v>
      </c>
      <c r="F585" s="18"/>
      <c r="G585" s="18" t="s">
        <v>60</v>
      </c>
      <c r="H585" s="18" t="s">
        <v>136</v>
      </c>
      <c r="I585" s="18" t="s">
        <v>4065</v>
      </c>
      <c r="J585" s="18" t="s">
        <v>4106</v>
      </c>
      <c r="K585" s="18" t="s">
        <v>139</v>
      </c>
      <c r="L585" s="19">
        <v>39690</v>
      </c>
    </row>
    <row r="586" spans="1:12" ht="18" customHeight="1">
      <c r="A586" s="16" t="s">
        <v>4107</v>
      </c>
      <c r="B586" s="17"/>
      <c r="C586" s="18" t="s">
        <v>56</v>
      </c>
      <c r="D586" s="18" t="s">
        <v>4108</v>
      </c>
      <c r="E586" s="18" t="s">
        <v>4109</v>
      </c>
      <c r="F586" s="18"/>
      <c r="G586" s="18" t="s">
        <v>60</v>
      </c>
      <c r="H586" s="18" t="s">
        <v>583</v>
      </c>
      <c r="I586" s="18" t="s">
        <v>4065</v>
      </c>
      <c r="J586" s="18" t="s">
        <v>4110</v>
      </c>
      <c r="K586" s="18" t="s">
        <v>2664</v>
      </c>
      <c r="L586" s="19">
        <v>42080</v>
      </c>
    </row>
    <row r="587" spans="1:12" ht="18" customHeight="1">
      <c r="A587" s="16" t="s">
        <v>4111</v>
      </c>
      <c r="B587" s="17"/>
      <c r="C587" s="18" t="s">
        <v>56</v>
      </c>
      <c r="D587" s="18" t="s">
        <v>4112</v>
      </c>
      <c r="E587" s="18" t="s">
        <v>4113</v>
      </c>
      <c r="F587" s="18"/>
      <c r="G587" s="18" t="s">
        <v>60</v>
      </c>
      <c r="H587" s="18" t="s">
        <v>632</v>
      </c>
      <c r="I587" s="18" t="s">
        <v>4065</v>
      </c>
      <c r="J587" s="18" t="s">
        <v>1174</v>
      </c>
      <c r="K587" s="18" t="s">
        <v>915</v>
      </c>
      <c r="L587" s="19">
        <v>44270</v>
      </c>
    </row>
    <row r="588" spans="1:12" ht="18" customHeight="1">
      <c r="A588" s="16" t="s">
        <v>4114</v>
      </c>
      <c r="B588" s="17"/>
      <c r="C588" s="18" t="s">
        <v>56</v>
      </c>
      <c r="D588" s="18" t="s">
        <v>4115</v>
      </c>
      <c r="E588" s="18" t="s">
        <v>4116</v>
      </c>
      <c r="F588" s="18"/>
      <c r="G588" s="18" t="s">
        <v>60</v>
      </c>
      <c r="H588" s="18" t="s">
        <v>1186</v>
      </c>
      <c r="I588" s="18" t="s">
        <v>4065</v>
      </c>
      <c r="J588" s="18" t="s">
        <v>4117</v>
      </c>
      <c r="K588" s="18" t="s">
        <v>1189</v>
      </c>
      <c r="L588" s="19">
        <v>58010</v>
      </c>
    </row>
    <row r="589" spans="1:12" ht="18" customHeight="1">
      <c r="A589" s="16" t="s">
        <v>4118</v>
      </c>
      <c r="B589" s="17"/>
      <c r="C589" s="18" t="s">
        <v>56</v>
      </c>
      <c r="D589" s="18" t="s">
        <v>4119</v>
      </c>
      <c r="E589" s="18" t="s">
        <v>4120</v>
      </c>
      <c r="F589" s="18"/>
      <c r="G589" s="18" t="s">
        <v>60</v>
      </c>
      <c r="H589" s="18" t="s">
        <v>152</v>
      </c>
      <c r="I589" s="18" t="s">
        <v>4065</v>
      </c>
      <c r="J589" s="18" t="s">
        <v>4121</v>
      </c>
      <c r="K589" s="18" t="s">
        <v>155</v>
      </c>
      <c r="L589" s="19">
        <v>63000</v>
      </c>
    </row>
    <row r="590" spans="1:12" ht="18" customHeight="1">
      <c r="A590" s="16" t="s">
        <v>4122</v>
      </c>
      <c r="B590" s="17"/>
      <c r="C590" s="18" t="s">
        <v>56</v>
      </c>
      <c r="D590" s="18" t="s">
        <v>4123</v>
      </c>
      <c r="E590" s="18" t="s">
        <v>4124</v>
      </c>
      <c r="F590" s="18"/>
      <c r="G590" s="18" t="s">
        <v>60</v>
      </c>
      <c r="H590" s="18" t="s">
        <v>160</v>
      </c>
      <c r="I590" s="18" t="s">
        <v>4065</v>
      </c>
      <c r="J590" s="18" t="s">
        <v>4125</v>
      </c>
      <c r="K590" s="18" t="s">
        <v>930</v>
      </c>
      <c r="L590" s="19">
        <v>64060</v>
      </c>
    </row>
    <row r="591" spans="1:12" ht="18" customHeight="1">
      <c r="A591" s="16" t="s">
        <v>4126</v>
      </c>
      <c r="B591" s="17"/>
      <c r="C591" s="18" t="s">
        <v>56</v>
      </c>
      <c r="D591" s="18" t="s">
        <v>4127</v>
      </c>
      <c r="E591" s="18" t="s">
        <v>4128</v>
      </c>
      <c r="F591" s="18"/>
      <c r="G591" s="18" t="s">
        <v>60</v>
      </c>
      <c r="H591" s="18" t="s">
        <v>168</v>
      </c>
      <c r="I591" s="18" t="s">
        <v>4065</v>
      </c>
      <c r="J591" s="18" t="s">
        <v>1129</v>
      </c>
      <c r="K591" s="18" t="s">
        <v>168</v>
      </c>
      <c r="L591" s="19">
        <v>72140</v>
      </c>
    </row>
    <row r="592" spans="1:12" ht="18" customHeight="1">
      <c r="A592" s="16" t="s">
        <v>4129</v>
      </c>
      <c r="B592" s="17"/>
      <c r="C592" s="18" t="s">
        <v>56</v>
      </c>
      <c r="D592" s="18" t="s">
        <v>4130</v>
      </c>
      <c r="E592" s="18" t="s">
        <v>4131</v>
      </c>
      <c r="F592" s="18"/>
      <c r="G592" s="18" t="s">
        <v>60</v>
      </c>
      <c r="H592" s="18" t="s">
        <v>190</v>
      </c>
      <c r="I592" s="18" t="s">
        <v>4065</v>
      </c>
      <c r="J592" s="18" t="s">
        <v>4132</v>
      </c>
      <c r="K592" s="18" t="s">
        <v>190</v>
      </c>
      <c r="L592" s="19">
        <v>78233</v>
      </c>
    </row>
    <row r="593" spans="1:12" ht="18" customHeight="1">
      <c r="A593" s="16" t="s">
        <v>4133</v>
      </c>
      <c r="B593" s="17"/>
      <c r="C593" s="18" t="s">
        <v>56</v>
      </c>
      <c r="D593" s="18" t="s">
        <v>4134</v>
      </c>
      <c r="E593" s="18" t="s">
        <v>4135</v>
      </c>
      <c r="F593" s="18"/>
      <c r="G593" s="18" t="s">
        <v>60</v>
      </c>
      <c r="H593" s="18" t="s">
        <v>504</v>
      </c>
      <c r="I593" s="18" t="s">
        <v>4065</v>
      </c>
      <c r="J593" s="18" t="s">
        <v>4136</v>
      </c>
      <c r="K593" s="18" t="s">
        <v>894</v>
      </c>
      <c r="L593" s="19">
        <v>80020</v>
      </c>
    </row>
    <row r="594" spans="1:12" ht="18" customHeight="1">
      <c r="A594" s="16" t="s">
        <v>4137</v>
      </c>
      <c r="B594" s="17"/>
      <c r="C594" s="18" t="s">
        <v>56</v>
      </c>
      <c r="D594" s="18" t="s">
        <v>4138</v>
      </c>
      <c r="E594" s="18" t="s">
        <v>4139</v>
      </c>
      <c r="F594" s="18"/>
      <c r="G594" s="18" t="s">
        <v>60</v>
      </c>
      <c r="H594" s="18" t="s">
        <v>197</v>
      </c>
      <c r="I594" s="18" t="s">
        <v>4065</v>
      </c>
      <c r="J594" s="18" t="s">
        <v>4140</v>
      </c>
      <c r="K594" s="18" t="s">
        <v>200</v>
      </c>
      <c r="L594" s="19">
        <v>83280</v>
      </c>
    </row>
    <row r="595" spans="1:12" ht="18" customHeight="1">
      <c r="A595" s="16" t="s">
        <v>4141</v>
      </c>
      <c r="B595" s="17"/>
      <c r="C595" s="18" t="s">
        <v>56</v>
      </c>
      <c r="D595" s="18" t="s">
        <v>4142</v>
      </c>
      <c r="E595" s="18" t="s">
        <v>4143</v>
      </c>
      <c r="F595" s="18"/>
      <c r="G595" s="18" t="s">
        <v>60</v>
      </c>
      <c r="H595" s="18" t="s">
        <v>213</v>
      </c>
      <c r="I595" s="18" t="s">
        <v>4065</v>
      </c>
      <c r="J595" s="18" t="s">
        <v>4144</v>
      </c>
      <c r="K595" s="18" t="s">
        <v>216</v>
      </c>
      <c r="L595" s="19">
        <v>87000</v>
      </c>
    </row>
    <row r="596" spans="1:12" ht="18" customHeight="1">
      <c r="A596" s="16" t="s">
        <v>4145</v>
      </c>
      <c r="B596" s="17"/>
      <c r="C596" s="18" t="s">
        <v>56</v>
      </c>
      <c r="D596" s="18" t="s">
        <v>4146</v>
      </c>
      <c r="E596" s="18" t="s">
        <v>4147</v>
      </c>
      <c r="F596" s="18"/>
      <c r="G596" s="18" t="s">
        <v>60</v>
      </c>
      <c r="H596" s="18" t="s">
        <v>221</v>
      </c>
      <c r="I596" s="18" t="s">
        <v>4065</v>
      </c>
      <c r="J596" s="18" t="s">
        <v>1135</v>
      </c>
      <c r="K596" s="18" t="s">
        <v>221</v>
      </c>
      <c r="L596" s="19">
        <v>90300</v>
      </c>
    </row>
    <row r="597" spans="1:12" ht="18" customHeight="1">
      <c r="A597" s="16" t="s">
        <v>4148</v>
      </c>
      <c r="B597" s="17"/>
      <c r="C597" s="18" t="s">
        <v>56</v>
      </c>
      <c r="D597" s="18" t="s">
        <v>4149</v>
      </c>
      <c r="E597" s="18" t="s">
        <v>4150</v>
      </c>
      <c r="F597" s="18"/>
      <c r="G597" s="18" t="s">
        <v>60</v>
      </c>
      <c r="H597" s="18" t="s">
        <v>616</v>
      </c>
      <c r="I597" s="18" t="s">
        <v>4065</v>
      </c>
      <c r="J597" s="18" t="s">
        <v>2956</v>
      </c>
      <c r="K597" s="18" t="s">
        <v>1181</v>
      </c>
      <c r="L597" s="19">
        <v>91010</v>
      </c>
    </row>
    <row r="598" spans="1:12" ht="18" customHeight="1">
      <c r="A598" s="16" t="s">
        <v>4151</v>
      </c>
      <c r="B598" s="17"/>
      <c r="C598" s="18" t="s">
        <v>56</v>
      </c>
      <c r="D598" s="18" t="s">
        <v>4152</v>
      </c>
      <c r="E598" s="18" t="s">
        <v>4153</v>
      </c>
      <c r="F598" s="18"/>
      <c r="G598" s="18" t="s">
        <v>60</v>
      </c>
      <c r="H598" s="18" t="s">
        <v>253</v>
      </c>
      <c r="I598" s="18" t="s">
        <v>4154</v>
      </c>
      <c r="J598" s="18" t="s">
        <v>4155</v>
      </c>
      <c r="K598" s="18" t="s">
        <v>281</v>
      </c>
      <c r="L598" s="19">
        <v>6600</v>
      </c>
    </row>
    <row r="599" spans="1:12" ht="18" customHeight="1">
      <c r="A599" s="16" t="s">
        <v>4156</v>
      </c>
      <c r="B599" s="17"/>
      <c r="C599" s="18" t="s">
        <v>56</v>
      </c>
      <c r="D599" s="18" t="s">
        <v>4157</v>
      </c>
      <c r="E599" s="18" t="s">
        <v>4158</v>
      </c>
      <c r="F599" s="18"/>
      <c r="G599" s="18" t="s">
        <v>60</v>
      </c>
      <c r="H599" s="18" t="s">
        <v>253</v>
      </c>
      <c r="I599" s="18" t="s">
        <v>4159</v>
      </c>
      <c r="J599" s="18" t="s">
        <v>3769</v>
      </c>
      <c r="K599" s="18" t="s">
        <v>1277</v>
      </c>
      <c r="L599" s="19" t="s">
        <v>1278</v>
      </c>
    </row>
    <row r="600" spans="1:12" ht="18" customHeight="1">
      <c r="A600" s="16" t="s">
        <v>4160</v>
      </c>
      <c r="B600" s="17"/>
      <c r="C600" s="18" t="s">
        <v>56</v>
      </c>
      <c r="D600" s="18" t="s">
        <v>4161</v>
      </c>
      <c r="E600" s="18" t="s">
        <v>4162</v>
      </c>
      <c r="F600" s="18"/>
      <c r="G600" s="18" t="s">
        <v>60</v>
      </c>
      <c r="H600" s="18" t="s">
        <v>253</v>
      </c>
      <c r="I600" s="18" t="s">
        <v>4163</v>
      </c>
      <c r="J600" s="18" t="s">
        <v>4164</v>
      </c>
      <c r="K600" s="18" t="s">
        <v>1060</v>
      </c>
      <c r="L600" s="19">
        <v>11850</v>
      </c>
    </row>
    <row r="601" spans="1:12" ht="18" customHeight="1">
      <c r="A601" s="16" t="s">
        <v>4165</v>
      </c>
      <c r="B601" s="17"/>
      <c r="C601" s="18" t="s">
        <v>56</v>
      </c>
      <c r="D601" s="18" t="s">
        <v>4166</v>
      </c>
      <c r="E601" s="18" t="s">
        <v>4167</v>
      </c>
      <c r="F601" s="18"/>
      <c r="G601" s="18" t="s">
        <v>60</v>
      </c>
      <c r="H601" s="18" t="s">
        <v>253</v>
      </c>
      <c r="I601" s="18" t="s">
        <v>4168</v>
      </c>
      <c r="J601" s="18" t="s">
        <v>1118</v>
      </c>
      <c r="K601" s="18" t="s">
        <v>1028</v>
      </c>
      <c r="L601" s="19">
        <v>14070</v>
      </c>
    </row>
    <row r="602" spans="1:12" ht="18" customHeight="1">
      <c r="A602" s="16" t="s">
        <v>4169</v>
      </c>
      <c r="B602" s="17" t="s">
        <v>4170</v>
      </c>
      <c r="C602" s="18" t="s">
        <v>56</v>
      </c>
      <c r="D602" s="18" t="s">
        <v>4171</v>
      </c>
      <c r="E602" s="18" t="s">
        <v>4172</v>
      </c>
      <c r="F602" s="18" t="s">
        <v>350</v>
      </c>
      <c r="G602" s="18" t="s">
        <v>60</v>
      </c>
      <c r="H602" s="18" t="s">
        <v>253</v>
      </c>
      <c r="I602" s="18" t="s">
        <v>4173</v>
      </c>
      <c r="J602" s="18" t="s">
        <v>4174</v>
      </c>
      <c r="K602" s="18" t="s">
        <v>330</v>
      </c>
      <c r="L602" s="19" t="s">
        <v>2433</v>
      </c>
    </row>
    <row r="603" spans="1:12" ht="18" customHeight="1">
      <c r="A603" s="16" t="s">
        <v>4175</v>
      </c>
      <c r="B603" s="17"/>
      <c r="C603" s="18" t="s">
        <v>56</v>
      </c>
      <c r="D603" s="18" t="s">
        <v>4176</v>
      </c>
      <c r="E603" s="18" t="s">
        <v>4177</v>
      </c>
      <c r="F603" s="18"/>
      <c r="G603" s="18" t="s">
        <v>60</v>
      </c>
      <c r="H603" s="18" t="s">
        <v>253</v>
      </c>
      <c r="I603" s="18" t="s">
        <v>4178</v>
      </c>
      <c r="J603" s="18" t="s">
        <v>4179</v>
      </c>
      <c r="K603" s="18" t="s">
        <v>1060</v>
      </c>
      <c r="L603" s="19">
        <v>11850</v>
      </c>
    </row>
    <row r="604" spans="1:12" ht="18" customHeight="1">
      <c r="A604" s="16" t="s">
        <v>4180</v>
      </c>
      <c r="B604" s="17" t="s">
        <v>4181</v>
      </c>
      <c r="C604" s="18" t="s">
        <v>56</v>
      </c>
      <c r="D604" s="18" t="s">
        <v>350</v>
      </c>
      <c r="E604" s="18" t="s">
        <v>4182</v>
      </c>
      <c r="F604" s="18" t="s">
        <v>350</v>
      </c>
      <c r="G604" s="18" t="s">
        <v>60</v>
      </c>
      <c r="H604" s="18" t="s">
        <v>253</v>
      </c>
      <c r="I604" s="18" t="s">
        <v>4183</v>
      </c>
      <c r="J604" s="18" t="s">
        <v>4184</v>
      </c>
      <c r="K604" s="18" t="s">
        <v>1226</v>
      </c>
      <c r="L604" s="19" t="s">
        <v>4185</v>
      </c>
    </row>
    <row r="605" spans="1:12" ht="18" customHeight="1">
      <c r="A605" s="16" t="s">
        <v>4186</v>
      </c>
      <c r="B605" s="17" t="s">
        <v>4187</v>
      </c>
      <c r="C605" s="18" t="s">
        <v>56</v>
      </c>
      <c r="D605" s="18" t="s">
        <v>4188</v>
      </c>
      <c r="E605" s="18" t="s">
        <v>4189</v>
      </c>
      <c r="F605" s="18" t="s">
        <v>4190</v>
      </c>
      <c r="G605" s="18" t="s">
        <v>60</v>
      </c>
      <c r="H605" s="18" t="s">
        <v>61</v>
      </c>
      <c r="I605" s="18" t="s">
        <v>4191</v>
      </c>
      <c r="J605" s="18" t="s">
        <v>4192</v>
      </c>
      <c r="K605" s="18" t="s">
        <v>61</v>
      </c>
      <c r="L605" s="19">
        <v>20239</v>
      </c>
    </row>
    <row r="606" spans="1:12" ht="18" customHeight="1">
      <c r="A606" s="16" t="s">
        <v>4193</v>
      </c>
      <c r="B606" s="17" t="s">
        <v>4194</v>
      </c>
      <c r="C606" s="18" t="s">
        <v>56</v>
      </c>
      <c r="D606" s="18" t="s">
        <v>4195</v>
      </c>
      <c r="E606" s="18" t="s">
        <v>4196</v>
      </c>
      <c r="F606" s="18" t="s">
        <v>4190</v>
      </c>
      <c r="G606" s="18" t="s">
        <v>60</v>
      </c>
      <c r="H606" s="18" t="s">
        <v>76</v>
      </c>
      <c r="I606" s="18" t="s">
        <v>4197</v>
      </c>
      <c r="J606" s="18" t="s">
        <v>4074</v>
      </c>
      <c r="K606" s="18" t="s">
        <v>79</v>
      </c>
      <c r="L606" s="19">
        <v>23040</v>
      </c>
    </row>
    <row r="607" spans="1:12" ht="18" customHeight="1">
      <c r="A607" s="16" t="s">
        <v>4198</v>
      </c>
      <c r="B607" s="17" t="s">
        <v>4199</v>
      </c>
      <c r="C607" s="18" t="s">
        <v>56</v>
      </c>
      <c r="D607" s="18" t="s">
        <v>4200</v>
      </c>
      <c r="E607" s="18" t="s">
        <v>4201</v>
      </c>
      <c r="F607" s="18" t="s">
        <v>4190</v>
      </c>
      <c r="G607" s="18" t="s">
        <v>60</v>
      </c>
      <c r="H607" s="18" t="s">
        <v>68</v>
      </c>
      <c r="I607" s="18" t="s">
        <v>4202</v>
      </c>
      <c r="J607" s="18" t="s">
        <v>4078</v>
      </c>
      <c r="K607" s="18" t="s">
        <v>71</v>
      </c>
      <c r="L607" s="19">
        <v>21259</v>
      </c>
    </row>
    <row r="608" spans="1:12" ht="18" customHeight="1">
      <c r="A608" s="16" t="s">
        <v>4203</v>
      </c>
      <c r="B608" s="17" t="s">
        <v>4204</v>
      </c>
      <c r="C608" s="18" t="s">
        <v>56</v>
      </c>
      <c r="D608" s="18" t="s">
        <v>4205</v>
      </c>
      <c r="E608" s="18" t="s">
        <v>4206</v>
      </c>
      <c r="F608" s="18" t="s">
        <v>4190</v>
      </c>
      <c r="G608" s="18" t="s">
        <v>60</v>
      </c>
      <c r="H608" s="18" t="s">
        <v>84</v>
      </c>
      <c r="I608" s="18" t="s">
        <v>4207</v>
      </c>
      <c r="J608" s="18" t="s">
        <v>4208</v>
      </c>
      <c r="K608" s="18" t="s">
        <v>84</v>
      </c>
      <c r="L608" s="19">
        <v>24010</v>
      </c>
    </row>
    <row r="609" spans="1:12" ht="18" customHeight="1">
      <c r="A609" s="16" t="s">
        <v>4209</v>
      </c>
      <c r="B609" s="17" t="s">
        <v>4210</v>
      </c>
      <c r="C609" s="18" t="s">
        <v>56</v>
      </c>
      <c r="D609" s="18" t="s">
        <v>4211</v>
      </c>
      <c r="E609" s="18" t="s">
        <v>4212</v>
      </c>
      <c r="F609" s="18" t="s">
        <v>4190</v>
      </c>
      <c r="G609" s="18" t="s">
        <v>60</v>
      </c>
      <c r="H609" s="18" t="s">
        <v>91</v>
      </c>
      <c r="I609" s="18" t="s">
        <v>4213</v>
      </c>
      <c r="J609" s="18" t="s">
        <v>4086</v>
      </c>
      <c r="K609" s="18" t="s">
        <v>94</v>
      </c>
      <c r="L609" s="19">
        <v>29034</v>
      </c>
    </row>
    <row r="610" spans="1:12" ht="18" customHeight="1">
      <c r="A610" s="16" t="s">
        <v>4214</v>
      </c>
      <c r="B610" s="17" t="s">
        <v>4215</v>
      </c>
      <c r="C610" s="18" t="s">
        <v>56</v>
      </c>
      <c r="D610" s="18" t="s">
        <v>4216</v>
      </c>
      <c r="E610" s="18" t="s">
        <v>4217</v>
      </c>
      <c r="F610" s="18" t="s">
        <v>4190</v>
      </c>
      <c r="G610" s="18" t="s">
        <v>60</v>
      </c>
      <c r="H610" s="18" t="s">
        <v>99</v>
      </c>
      <c r="I610" s="18" t="s">
        <v>4218</v>
      </c>
      <c r="J610" s="18" t="s">
        <v>4090</v>
      </c>
      <c r="K610" s="18" t="s">
        <v>99</v>
      </c>
      <c r="L610" s="19">
        <v>31200</v>
      </c>
    </row>
    <row r="611" spans="1:12" ht="18" customHeight="1">
      <c r="A611" s="16" t="s">
        <v>4219</v>
      </c>
      <c r="B611" s="17" t="s">
        <v>4220</v>
      </c>
      <c r="C611" s="18" t="s">
        <v>56</v>
      </c>
      <c r="D611" s="18" t="s">
        <v>4221</v>
      </c>
      <c r="E611" s="18" t="s">
        <v>4222</v>
      </c>
      <c r="F611" s="18" t="s">
        <v>4190</v>
      </c>
      <c r="G611" s="18" t="s">
        <v>60</v>
      </c>
      <c r="H611" s="18" t="s">
        <v>106</v>
      </c>
      <c r="I611" s="18" t="s">
        <v>4223</v>
      </c>
      <c r="J611" s="18" t="s">
        <v>4094</v>
      </c>
      <c r="K611" s="18" t="s">
        <v>109</v>
      </c>
      <c r="L611" s="19">
        <v>25000</v>
      </c>
    </row>
    <row r="612" spans="1:12" ht="18" customHeight="1">
      <c r="A612" s="16" t="s">
        <v>4224</v>
      </c>
      <c r="B612" s="17" t="s">
        <v>4225</v>
      </c>
      <c r="C612" s="18" t="s">
        <v>56</v>
      </c>
      <c r="D612" s="18" t="s">
        <v>4226</v>
      </c>
      <c r="E612" s="18" t="s">
        <v>4227</v>
      </c>
      <c r="F612" s="18" t="s">
        <v>4190</v>
      </c>
      <c r="G612" s="18" t="s">
        <v>60</v>
      </c>
      <c r="H612" s="18" t="s">
        <v>114</v>
      </c>
      <c r="I612" s="18" t="s">
        <v>4228</v>
      </c>
      <c r="J612" s="18" t="s">
        <v>4098</v>
      </c>
      <c r="K612" s="18" t="s">
        <v>114</v>
      </c>
      <c r="L612" s="19">
        <v>28017</v>
      </c>
    </row>
    <row r="613" spans="1:12" ht="18" customHeight="1">
      <c r="A613" s="16" t="s">
        <v>4229</v>
      </c>
      <c r="B613" s="17" t="s">
        <v>4230</v>
      </c>
      <c r="C613" s="18" t="s">
        <v>56</v>
      </c>
      <c r="D613" s="18" t="s">
        <v>4231</v>
      </c>
      <c r="E613" s="18" t="s">
        <v>4232</v>
      </c>
      <c r="F613" s="18" t="s">
        <v>4190</v>
      </c>
      <c r="G613" s="18" t="s">
        <v>60</v>
      </c>
      <c r="H613" s="18" t="s">
        <v>121</v>
      </c>
      <c r="I613" s="18" t="s">
        <v>4233</v>
      </c>
      <c r="J613" s="18" t="s">
        <v>4102</v>
      </c>
      <c r="K613" s="18" t="s">
        <v>121</v>
      </c>
      <c r="L613" s="19">
        <v>34270</v>
      </c>
    </row>
    <row r="614" spans="1:12" ht="18" customHeight="1">
      <c r="A614" s="16" t="s">
        <v>4234</v>
      </c>
      <c r="B614" s="17" t="s">
        <v>4235</v>
      </c>
      <c r="C614" s="18" t="s">
        <v>56</v>
      </c>
      <c r="D614" s="18" t="s">
        <v>4236</v>
      </c>
      <c r="E614" s="18" t="s">
        <v>4237</v>
      </c>
      <c r="F614" s="18" t="s">
        <v>4190</v>
      </c>
      <c r="G614" s="18" t="s">
        <v>60</v>
      </c>
      <c r="H614" s="18" t="s">
        <v>294</v>
      </c>
      <c r="I614" s="18" t="s">
        <v>4238</v>
      </c>
      <c r="J614" s="18" t="s">
        <v>2786</v>
      </c>
      <c r="K614" s="18" t="s">
        <v>1162</v>
      </c>
      <c r="L614" s="19">
        <v>50071</v>
      </c>
    </row>
    <row r="615" spans="1:12" ht="18" customHeight="1">
      <c r="A615" s="16" t="s">
        <v>4239</v>
      </c>
      <c r="B615" s="17" t="s">
        <v>4240</v>
      </c>
      <c r="C615" s="18" t="s">
        <v>56</v>
      </c>
      <c r="D615" s="18" t="s">
        <v>4241</v>
      </c>
      <c r="E615" s="18" t="s">
        <v>4242</v>
      </c>
      <c r="F615" s="18" t="s">
        <v>4190</v>
      </c>
      <c r="G615" s="18" t="s">
        <v>60</v>
      </c>
      <c r="H615" s="18" t="s">
        <v>128</v>
      </c>
      <c r="I615" s="18" t="s">
        <v>4243</v>
      </c>
      <c r="J615" s="18" t="s">
        <v>310</v>
      </c>
      <c r="K615" s="18" t="s">
        <v>131</v>
      </c>
      <c r="L615" s="19">
        <v>38020</v>
      </c>
    </row>
    <row r="616" spans="1:12" ht="18" customHeight="1">
      <c r="A616" s="16" t="s">
        <v>4244</v>
      </c>
      <c r="B616" s="17" t="s">
        <v>4245</v>
      </c>
      <c r="C616" s="18" t="s">
        <v>56</v>
      </c>
      <c r="D616" s="18" t="s">
        <v>4246</v>
      </c>
      <c r="E616" s="18" t="s">
        <v>4247</v>
      </c>
      <c r="F616" s="18" t="s">
        <v>4190</v>
      </c>
      <c r="G616" s="18" t="s">
        <v>60</v>
      </c>
      <c r="H616" s="18" t="s">
        <v>136</v>
      </c>
      <c r="I616" s="18" t="s">
        <v>4248</v>
      </c>
      <c r="J616" s="18" t="s">
        <v>4106</v>
      </c>
      <c r="K616" s="18" t="s">
        <v>139</v>
      </c>
      <c r="L616" s="19">
        <v>39690</v>
      </c>
    </row>
    <row r="617" spans="1:12" ht="18" customHeight="1">
      <c r="A617" s="16" t="s">
        <v>4249</v>
      </c>
      <c r="B617" s="17" t="s">
        <v>4250</v>
      </c>
      <c r="C617" s="18" t="s">
        <v>56</v>
      </c>
      <c r="D617" s="18" t="s">
        <v>4251</v>
      </c>
      <c r="E617" s="18" t="s">
        <v>4252</v>
      </c>
      <c r="F617" s="18" t="s">
        <v>4190</v>
      </c>
      <c r="G617" s="18" t="s">
        <v>60</v>
      </c>
      <c r="H617" s="18" t="s">
        <v>583</v>
      </c>
      <c r="I617" s="18" t="s">
        <v>4253</v>
      </c>
      <c r="J617" s="18" t="s">
        <v>4254</v>
      </c>
      <c r="K617" s="18" t="s">
        <v>2664</v>
      </c>
      <c r="L617" s="19">
        <v>42080</v>
      </c>
    </row>
    <row r="618" spans="1:12" ht="18" customHeight="1">
      <c r="A618" s="16" t="s">
        <v>4255</v>
      </c>
      <c r="B618" s="17" t="s">
        <v>4256</v>
      </c>
      <c r="C618" s="18" t="s">
        <v>56</v>
      </c>
      <c r="D618" s="18" t="s">
        <v>4257</v>
      </c>
      <c r="E618" s="18" t="s">
        <v>4258</v>
      </c>
      <c r="F618" s="18" t="s">
        <v>4190</v>
      </c>
      <c r="G618" s="18" t="s">
        <v>60</v>
      </c>
      <c r="H618" s="18" t="s">
        <v>632</v>
      </c>
      <c r="I618" s="18" t="s">
        <v>4259</v>
      </c>
      <c r="J618" s="18" t="s">
        <v>4260</v>
      </c>
      <c r="K618" s="18" t="s">
        <v>915</v>
      </c>
      <c r="L618" s="19">
        <v>44270</v>
      </c>
    </row>
    <row r="619" spans="1:12" ht="18" customHeight="1">
      <c r="A619" s="16" t="s">
        <v>4261</v>
      </c>
      <c r="B619" s="17" t="s">
        <v>4262</v>
      </c>
      <c r="C619" s="18" t="s">
        <v>56</v>
      </c>
      <c r="D619" s="18" t="s">
        <v>4263</v>
      </c>
      <c r="E619" s="18" t="s">
        <v>4264</v>
      </c>
      <c r="F619" s="18" t="s">
        <v>4190</v>
      </c>
      <c r="G619" s="18" t="s">
        <v>60</v>
      </c>
      <c r="H619" s="18" t="s">
        <v>1186</v>
      </c>
      <c r="I619" s="18" t="s">
        <v>4265</v>
      </c>
      <c r="J619" s="18" t="s">
        <v>4117</v>
      </c>
      <c r="K619" s="18" t="s">
        <v>1189</v>
      </c>
      <c r="L619" s="19">
        <v>58010</v>
      </c>
    </row>
    <row r="620" spans="1:12" ht="18" customHeight="1">
      <c r="A620" s="16" t="s">
        <v>4266</v>
      </c>
      <c r="B620" s="17" t="s">
        <v>4267</v>
      </c>
      <c r="C620" s="18" t="s">
        <v>56</v>
      </c>
      <c r="D620" s="18" t="s">
        <v>4268</v>
      </c>
      <c r="E620" s="18" t="s">
        <v>4269</v>
      </c>
      <c r="F620" s="18" t="s">
        <v>4190</v>
      </c>
      <c r="G620" s="18" t="s">
        <v>60</v>
      </c>
      <c r="H620" s="18" t="s">
        <v>351</v>
      </c>
      <c r="I620" s="18" t="s">
        <v>4270</v>
      </c>
      <c r="J620" s="18" t="s">
        <v>4271</v>
      </c>
      <c r="K620" s="18" t="s">
        <v>1047</v>
      </c>
      <c r="L620" s="19">
        <v>62050</v>
      </c>
    </row>
    <row r="621" spans="1:12" ht="18" customHeight="1">
      <c r="A621" s="16" t="s">
        <v>4272</v>
      </c>
      <c r="B621" s="17" t="s">
        <v>4273</v>
      </c>
      <c r="C621" s="18" t="s">
        <v>56</v>
      </c>
      <c r="D621" s="18" t="s">
        <v>4274</v>
      </c>
      <c r="E621" s="18" t="s">
        <v>4275</v>
      </c>
      <c r="F621" s="18" t="s">
        <v>4190</v>
      </c>
      <c r="G621" s="18" t="s">
        <v>60</v>
      </c>
      <c r="H621" s="18" t="s">
        <v>152</v>
      </c>
      <c r="I621" s="18" t="s">
        <v>4276</v>
      </c>
      <c r="J621" s="18" t="s">
        <v>4277</v>
      </c>
      <c r="K621" s="18" t="s">
        <v>155</v>
      </c>
      <c r="L621" s="19">
        <v>63000</v>
      </c>
    </row>
    <row r="622" spans="1:12" ht="18" customHeight="1">
      <c r="A622" s="16" t="s">
        <v>4278</v>
      </c>
      <c r="B622" s="17" t="s">
        <v>4279</v>
      </c>
      <c r="C622" s="18" t="s">
        <v>56</v>
      </c>
      <c r="D622" s="18" t="s">
        <v>4280</v>
      </c>
      <c r="E622" s="18" t="s">
        <v>4281</v>
      </c>
      <c r="F622" s="18" t="s">
        <v>4190</v>
      </c>
      <c r="G622" s="18" t="s">
        <v>60</v>
      </c>
      <c r="H622" s="18" t="s">
        <v>160</v>
      </c>
      <c r="I622" s="18" t="s">
        <v>4282</v>
      </c>
      <c r="J622" s="18" t="s">
        <v>4125</v>
      </c>
      <c r="K622" s="18" t="s">
        <v>930</v>
      </c>
      <c r="L622" s="19">
        <v>64060</v>
      </c>
    </row>
    <row r="623" spans="1:12" ht="18" customHeight="1">
      <c r="A623" s="16" t="s">
        <v>4283</v>
      </c>
      <c r="B623" s="17" t="s">
        <v>4284</v>
      </c>
      <c r="C623" s="18" t="s">
        <v>56</v>
      </c>
      <c r="D623" s="18" t="s">
        <v>4285</v>
      </c>
      <c r="E623" s="18" t="s">
        <v>4286</v>
      </c>
      <c r="F623" s="18" t="s">
        <v>4190</v>
      </c>
      <c r="G623" s="18" t="s">
        <v>60</v>
      </c>
      <c r="H623" s="18" t="s">
        <v>1153</v>
      </c>
      <c r="I623" s="18" t="s">
        <v>4287</v>
      </c>
      <c r="J623" s="18" t="s">
        <v>4288</v>
      </c>
      <c r="K623" s="18" t="s">
        <v>1153</v>
      </c>
      <c r="L623" s="19">
        <v>68050</v>
      </c>
    </row>
    <row r="624" spans="1:12" ht="18" customHeight="1">
      <c r="A624" s="16" t="s">
        <v>4289</v>
      </c>
      <c r="B624" s="17" t="s">
        <v>4290</v>
      </c>
      <c r="C624" s="18" t="s">
        <v>56</v>
      </c>
      <c r="D624" s="18" t="s">
        <v>4291</v>
      </c>
      <c r="E624" s="18" t="s">
        <v>4292</v>
      </c>
      <c r="F624" s="18" t="s">
        <v>4190</v>
      </c>
      <c r="G624" s="18" t="s">
        <v>60</v>
      </c>
      <c r="H624" s="18" t="s">
        <v>168</v>
      </c>
      <c r="I624" s="18" t="s">
        <v>4293</v>
      </c>
      <c r="J624" s="18" t="s">
        <v>1129</v>
      </c>
      <c r="K624" s="18" t="s">
        <v>168</v>
      </c>
      <c r="L624" s="19">
        <v>72140</v>
      </c>
    </row>
    <row r="625" spans="1:12" ht="18" customHeight="1">
      <c r="A625" s="16" t="s">
        <v>4294</v>
      </c>
      <c r="B625" s="17" t="s">
        <v>4295</v>
      </c>
      <c r="C625" s="18" t="s">
        <v>56</v>
      </c>
      <c r="D625" s="18" t="s">
        <v>4296</v>
      </c>
      <c r="E625" s="18" t="s">
        <v>4297</v>
      </c>
      <c r="F625" s="18" t="s">
        <v>4190</v>
      </c>
      <c r="G625" s="18" t="s">
        <v>60</v>
      </c>
      <c r="H625" s="18" t="s">
        <v>175</v>
      </c>
      <c r="I625" s="18" t="s">
        <v>4298</v>
      </c>
      <c r="J625" s="18" t="s">
        <v>4299</v>
      </c>
      <c r="K625" s="18" t="s">
        <v>175</v>
      </c>
      <c r="L625" s="19">
        <v>76030</v>
      </c>
    </row>
    <row r="626" spans="1:12" ht="18" customHeight="1">
      <c r="A626" s="16" t="s">
        <v>4300</v>
      </c>
      <c r="B626" s="17" t="s">
        <v>4301</v>
      </c>
      <c r="C626" s="18" t="s">
        <v>56</v>
      </c>
      <c r="D626" s="18" t="s">
        <v>4302</v>
      </c>
      <c r="E626" s="18" t="s">
        <v>4303</v>
      </c>
      <c r="F626" s="18" t="s">
        <v>4190</v>
      </c>
      <c r="G626" s="18" t="s">
        <v>60</v>
      </c>
      <c r="H626" s="18" t="s">
        <v>182</v>
      </c>
      <c r="I626" s="18" t="s">
        <v>4304</v>
      </c>
      <c r="J626" s="18" t="s">
        <v>4305</v>
      </c>
      <c r="K626" s="18" t="s">
        <v>185</v>
      </c>
      <c r="L626" s="19">
        <v>77000</v>
      </c>
    </row>
    <row r="627" spans="1:12" ht="18" customHeight="1">
      <c r="A627" s="16" t="s">
        <v>4306</v>
      </c>
      <c r="B627" s="17" t="s">
        <v>4307</v>
      </c>
      <c r="C627" s="18" t="s">
        <v>56</v>
      </c>
      <c r="D627" s="18" t="s">
        <v>4308</v>
      </c>
      <c r="E627" s="18" t="s">
        <v>4309</v>
      </c>
      <c r="F627" s="18" t="s">
        <v>4190</v>
      </c>
      <c r="G627" s="18" t="s">
        <v>60</v>
      </c>
      <c r="H627" s="18" t="s">
        <v>190</v>
      </c>
      <c r="I627" s="18" t="s">
        <v>4310</v>
      </c>
      <c r="J627" s="18" t="s">
        <v>4132</v>
      </c>
      <c r="K627" s="18" t="s">
        <v>190</v>
      </c>
      <c r="L627" s="19">
        <v>78233</v>
      </c>
    </row>
    <row r="628" spans="1:12" ht="18" customHeight="1">
      <c r="A628" s="16" t="s">
        <v>4311</v>
      </c>
      <c r="B628" s="17" t="s">
        <v>4312</v>
      </c>
      <c r="C628" s="18" t="s">
        <v>56</v>
      </c>
      <c r="D628" s="18" t="s">
        <v>4313</v>
      </c>
      <c r="E628" s="18" t="s">
        <v>4314</v>
      </c>
      <c r="F628" s="18" t="s">
        <v>4190</v>
      </c>
      <c r="G628" s="18" t="s">
        <v>60</v>
      </c>
      <c r="H628" s="18" t="s">
        <v>504</v>
      </c>
      <c r="I628" s="18" t="s">
        <v>4315</v>
      </c>
      <c r="J628" s="18" t="s">
        <v>4136</v>
      </c>
      <c r="K628" s="18" t="s">
        <v>894</v>
      </c>
      <c r="L628" s="19">
        <v>80020</v>
      </c>
    </row>
    <row r="629" spans="1:12" ht="18" customHeight="1">
      <c r="A629" s="16" t="s">
        <v>4316</v>
      </c>
      <c r="B629" s="17" t="s">
        <v>4317</v>
      </c>
      <c r="C629" s="18" t="s">
        <v>56</v>
      </c>
      <c r="D629" s="18" t="s">
        <v>4318</v>
      </c>
      <c r="E629" s="18" t="s">
        <v>4319</v>
      </c>
      <c r="F629" s="18" t="s">
        <v>4190</v>
      </c>
      <c r="G629" s="18" t="s">
        <v>60</v>
      </c>
      <c r="H629" s="18" t="s">
        <v>197</v>
      </c>
      <c r="I629" s="18" t="s">
        <v>4320</v>
      </c>
      <c r="J629" s="18" t="s">
        <v>4321</v>
      </c>
      <c r="K629" s="18" t="s">
        <v>200</v>
      </c>
      <c r="L629" s="19">
        <v>83280</v>
      </c>
    </row>
    <row r="630" spans="1:12" ht="18" customHeight="1">
      <c r="A630" s="16" t="s">
        <v>4322</v>
      </c>
      <c r="B630" s="17" t="s">
        <v>4323</v>
      </c>
      <c r="C630" s="18" t="s">
        <v>56</v>
      </c>
      <c r="D630" s="18" t="s">
        <v>4324</v>
      </c>
      <c r="E630" s="18" t="s">
        <v>4325</v>
      </c>
      <c r="F630" s="18" t="s">
        <v>4190</v>
      </c>
      <c r="G630" s="18" t="s">
        <v>60</v>
      </c>
      <c r="H630" s="18" t="s">
        <v>205</v>
      </c>
      <c r="I630" s="18" t="s">
        <v>4326</v>
      </c>
      <c r="J630" s="18" t="s">
        <v>2945</v>
      </c>
      <c r="K630" s="18" t="s">
        <v>208</v>
      </c>
      <c r="L630" s="19">
        <v>86000</v>
      </c>
    </row>
    <row r="631" spans="1:12" ht="18" customHeight="1">
      <c r="A631" s="16" t="s">
        <v>4327</v>
      </c>
      <c r="B631" s="17" t="s">
        <v>4328</v>
      </c>
      <c r="C631" s="18" t="s">
        <v>56</v>
      </c>
      <c r="D631" s="18" t="s">
        <v>4329</v>
      </c>
      <c r="E631" s="18" t="s">
        <v>4330</v>
      </c>
      <c r="F631" s="18" t="s">
        <v>4190</v>
      </c>
      <c r="G631" s="18" t="s">
        <v>60</v>
      </c>
      <c r="H631" s="18" t="s">
        <v>213</v>
      </c>
      <c r="I631" s="18" t="s">
        <v>4331</v>
      </c>
      <c r="J631" s="18" t="s">
        <v>4144</v>
      </c>
      <c r="K631" s="18" t="s">
        <v>216</v>
      </c>
      <c r="L631" s="19">
        <v>87000</v>
      </c>
    </row>
    <row r="632" spans="1:12" ht="18" customHeight="1">
      <c r="A632" s="16" t="s">
        <v>4332</v>
      </c>
      <c r="B632" s="17" t="s">
        <v>4333</v>
      </c>
      <c r="C632" s="18" t="s">
        <v>56</v>
      </c>
      <c r="D632" s="18" t="s">
        <v>4334</v>
      </c>
      <c r="E632" s="18" t="s">
        <v>4335</v>
      </c>
      <c r="F632" s="18" t="s">
        <v>4190</v>
      </c>
      <c r="G632" s="18" t="s">
        <v>60</v>
      </c>
      <c r="H632" s="18" t="s">
        <v>221</v>
      </c>
      <c r="I632" s="18" t="s">
        <v>4336</v>
      </c>
      <c r="J632" s="18" t="s">
        <v>4337</v>
      </c>
      <c r="K632" s="18" t="s">
        <v>4338</v>
      </c>
      <c r="L632" s="19">
        <v>90000</v>
      </c>
    </row>
    <row r="633" spans="1:12" ht="18" customHeight="1">
      <c r="A633" s="16" t="s">
        <v>4339</v>
      </c>
      <c r="B633" s="17" t="s">
        <v>4340</v>
      </c>
      <c r="C633" s="18" t="s">
        <v>56</v>
      </c>
      <c r="D633" s="18" t="s">
        <v>4341</v>
      </c>
      <c r="E633" s="18" t="s">
        <v>4342</v>
      </c>
      <c r="F633" s="18" t="s">
        <v>4190</v>
      </c>
      <c r="G633" s="18" t="s">
        <v>60</v>
      </c>
      <c r="H633" s="18" t="s">
        <v>616</v>
      </c>
      <c r="I633" s="18" t="s">
        <v>4343</v>
      </c>
      <c r="J633" s="18" t="s">
        <v>2956</v>
      </c>
      <c r="K633" s="18" t="s">
        <v>1181</v>
      </c>
      <c r="L633" s="19">
        <v>91010</v>
      </c>
    </row>
    <row r="634" spans="1:12" ht="18" customHeight="1">
      <c r="A634" s="16" t="s">
        <v>4344</v>
      </c>
      <c r="B634" s="17" t="s">
        <v>4345</v>
      </c>
      <c r="C634" s="18" t="s">
        <v>56</v>
      </c>
      <c r="D634" s="18" t="s">
        <v>4346</v>
      </c>
      <c r="E634" s="18" t="s">
        <v>4347</v>
      </c>
      <c r="F634" s="18" t="s">
        <v>4190</v>
      </c>
      <c r="G634" s="18" t="s">
        <v>60</v>
      </c>
      <c r="H634" s="18" t="s">
        <v>144</v>
      </c>
      <c r="I634" s="18" t="s">
        <v>4348</v>
      </c>
      <c r="J634" s="18" t="s">
        <v>4349</v>
      </c>
      <c r="K634" s="18" t="s">
        <v>147</v>
      </c>
      <c r="L634" s="19">
        <v>97100</v>
      </c>
    </row>
    <row r="635" spans="1:12" ht="18" customHeight="1">
      <c r="A635" s="16" t="s">
        <v>4350</v>
      </c>
      <c r="B635" s="17" t="s">
        <v>4351</v>
      </c>
      <c r="C635" s="18" t="s">
        <v>56</v>
      </c>
      <c r="D635" s="18" t="s">
        <v>4352</v>
      </c>
      <c r="E635" s="18" t="s">
        <v>4353</v>
      </c>
      <c r="F635" s="18" t="s">
        <v>4190</v>
      </c>
      <c r="G635" s="18" t="s">
        <v>60</v>
      </c>
      <c r="H635" s="18" t="s">
        <v>228</v>
      </c>
      <c r="I635" s="18" t="s">
        <v>4354</v>
      </c>
      <c r="J635" s="18" t="s">
        <v>4066</v>
      </c>
      <c r="K635" s="18" t="s">
        <v>163</v>
      </c>
      <c r="L635" s="19">
        <v>98604</v>
      </c>
    </row>
    <row r="636" spans="1:12" ht="18" customHeight="1">
      <c r="A636" s="16" t="s">
        <v>4355</v>
      </c>
      <c r="B636" s="17" t="s">
        <v>4356</v>
      </c>
      <c r="C636" s="18" t="s">
        <v>56</v>
      </c>
      <c r="D636" s="18" t="s">
        <v>4357</v>
      </c>
      <c r="E636" s="18" t="s">
        <v>4358</v>
      </c>
      <c r="F636" s="18" t="s">
        <v>4190</v>
      </c>
      <c r="G636" s="18" t="s">
        <v>60</v>
      </c>
      <c r="H636" s="18" t="s">
        <v>253</v>
      </c>
      <c r="I636" s="18" t="s">
        <v>4359</v>
      </c>
      <c r="J636" s="18" t="s">
        <v>4155</v>
      </c>
      <c r="K636" s="18" t="s">
        <v>281</v>
      </c>
      <c r="L636" s="19">
        <v>6600</v>
      </c>
    </row>
    <row r="637" spans="1:12" ht="18" customHeight="1">
      <c r="A637" s="16" t="s">
        <v>4360</v>
      </c>
      <c r="B637" s="17" t="s">
        <v>4361</v>
      </c>
      <c r="C637" s="18" t="s">
        <v>56</v>
      </c>
      <c r="D637" s="18" t="s">
        <v>4362</v>
      </c>
      <c r="E637" s="18" t="s">
        <v>4363</v>
      </c>
      <c r="F637" s="18" t="s">
        <v>4190</v>
      </c>
      <c r="G637" s="18" t="s">
        <v>60</v>
      </c>
      <c r="H637" s="18" t="s">
        <v>253</v>
      </c>
      <c r="I637" s="18" t="s">
        <v>4364</v>
      </c>
      <c r="J637" s="18" t="s">
        <v>3769</v>
      </c>
      <c r="K637" s="18" t="s">
        <v>1277</v>
      </c>
      <c r="L637" s="19" t="s">
        <v>1278</v>
      </c>
    </row>
    <row r="638" spans="1:12" ht="18" customHeight="1">
      <c r="A638" s="16" t="s">
        <v>4365</v>
      </c>
      <c r="B638" s="17" t="s">
        <v>4366</v>
      </c>
      <c r="C638" s="18" t="s">
        <v>56</v>
      </c>
      <c r="D638" s="18" t="s">
        <v>4367</v>
      </c>
      <c r="E638" s="18" t="s">
        <v>4368</v>
      </c>
      <c r="F638" s="18" t="s">
        <v>4190</v>
      </c>
      <c r="G638" s="18" t="s">
        <v>60</v>
      </c>
      <c r="H638" s="18" t="s">
        <v>253</v>
      </c>
      <c r="I638" s="18" t="s">
        <v>4369</v>
      </c>
      <c r="J638" s="18" t="s">
        <v>4164</v>
      </c>
      <c r="K638" s="18" t="s">
        <v>1060</v>
      </c>
      <c r="L638" s="19">
        <v>11850</v>
      </c>
    </row>
    <row r="639" spans="1:12" ht="18" customHeight="1">
      <c r="A639" s="16" t="s">
        <v>4370</v>
      </c>
      <c r="B639" s="17" t="s">
        <v>4371</v>
      </c>
      <c r="C639" s="18" t="s">
        <v>56</v>
      </c>
      <c r="D639" s="18" t="s">
        <v>4372</v>
      </c>
      <c r="E639" s="18" t="s">
        <v>4373</v>
      </c>
      <c r="F639" s="18" t="s">
        <v>4190</v>
      </c>
      <c r="G639" s="18" t="s">
        <v>60</v>
      </c>
      <c r="H639" s="18" t="s">
        <v>253</v>
      </c>
      <c r="I639" s="18" t="s">
        <v>4374</v>
      </c>
      <c r="J639" s="18" t="s">
        <v>1118</v>
      </c>
      <c r="K639" s="18" t="s">
        <v>1028</v>
      </c>
      <c r="L639" s="19">
        <v>14070</v>
      </c>
    </row>
    <row r="640" spans="1:12" ht="18" customHeight="1">
      <c r="A640" s="16" t="s">
        <v>4375</v>
      </c>
      <c r="B640" s="17" t="s">
        <v>2754</v>
      </c>
      <c r="C640" s="18" t="s">
        <v>56</v>
      </c>
      <c r="D640" s="18" t="s">
        <v>4376</v>
      </c>
      <c r="E640" s="18" t="s">
        <v>4377</v>
      </c>
      <c r="F640" s="18" t="s">
        <v>350</v>
      </c>
      <c r="G640" s="18" t="s">
        <v>60</v>
      </c>
      <c r="H640" s="18" t="s">
        <v>253</v>
      </c>
      <c r="I640" s="18" t="s">
        <v>4378</v>
      </c>
      <c r="J640" s="18" t="s">
        <v>371</v>
      </c>
      <c r="K640" s="18" t="s">
        <v>281</v>
      </c>
      <c r="L640" s="19" t="s">
        <v>372</v>
      </c>
    </row>
    <row r="641" spans="1:12" ht="18" customHeight="1">
      <c r="A641" s="16" t="s">
        <v>4379</v>
      </c>
      <c r="B641" s="17" t="s">
        <v>2754</v>
      </c>
      <c r="C641" s="18" t="s">
        <v>56</v>
      </c>
      <c r="D641" s="18" t="s">
        <v>4380</v>
      </c>
      <c r="E641" s="18" t="s">
        <v>4381</v>
      </c>
      <c r="F641" s="18" t="s">
        <v>350</v>
      </c>
      <c r="G641" s="18" t="s">
        <v>60</v>
      </c>
      <c r="H641" s="18" t="s">
        <v>253</v>
      </c>
      <c r="I641" s="18" t="s">
        <v>4382</v>
      </c>
      <c r="J641" s="18" t="s">
        <v>371</v>
      </c>
      <c r="K641" s="18" t="s">
        <v>281</v>
      </c>
      <c r="L641" s="19" t="s">
        <v>372</v>
      </c>
    </row>
    <row r="642" spans="1:12" ht="18" customHeight="1">
      <c r="A642" s="16" t="s">
        <v>4383</v>
      </c>
      <c r="B642" s="17" t="s">
        <v>2742</v>
      </c>
      <c r="C642" s="18" t="s">
        <v>56</v>
      </c>
      <c r="D642" s="18" t="s">
        <v>4384</v>
      </c>
      <c r="E642" s="18" t="s">
        <v>4385</v>
      </c>
      <c r="F642" s="18" t="s">
        <v>4386</v>
      </c>
      <c r="G642" s="18" t="s">
        <v>60</v>
      </c>
      <c r="H642" s="18" t="s">
        <v>253</v>
      </c>
      <c r="I642" s="18" t="s">
        <v>4387</v>
      </c>
      <c r="J642" s="18" t="s">
        <v>4388</v>
      </c>
      <c r="K642" s="18" t="s">
        <v>281</v>
      </c>
      <c r="L642" s="19">
        <v>6030</v>
      </c>
    </row>
    <row r="643" spans="1:12" ht="18" customHeight="1">
      <c r="A643" s="16" t="s">
        <v>4389</v>
      </c>
      <c r="B643" s="17" t="s">
        <v>4390</v>
      </c>
      <c r="C643" s="18" t="s">
        <v>56</v>
      </c>
      <c r="D643" s="18" t="s">
        <v>350</v>
      </c>
      <c r="E643" s="18" t="s">
        <v>4391</v>
      </c>
      <c r="F643" s="18" t="s">
        <v>350</v>
      </c>
      <c r="G643" s="18" t="s">
        <v>60</v>
      </c>
      <c r="H643" s="18" t="s">
        <v>253</v>
      </c>
      <c r="I643" s="18" t="s">
        <v>4392</v>
      </c>
      <c r="J643" s="18" t="s">
        <v>4393</v>
      </c>
      <c r="K643" s="18" t="s">
        <v>1028</v>
      </c>
      <c r="L643" s="19">
        <v>14410</v>
      </c>
    </row>
    <row r="644" spans="1:12" ht="18" customHeight="1">
      <c r="A644" s="16" t="s">
        <v>4394</v>
      </c>
      <c r="B644" s="17" t="s">
        <v>2754</v>
      </c>
      <c r="C644" s="18" t="s">
        <v>56</v>
      </c>
      <c r="D644" s="18" t="s">
        <v>4395</v>
      </c>
      <c r="E644" s="18" t="s">
        <v>4396</v>
      </c>
      <c r="F644" s="18" t="s">
        <v>350</v>
      </c>
      <c r="G644" s="18" t="s">
        <v>60</v>
      </c>
      <c r="H644" s="18" t="s">
        <v>253</v>
      </c>
      <c r="I644" s="18" t="s">
        <v>4397</v>
      </c>
      <c r="J644" s="18" t="s">
        <v>4398</v>
      </c>
      <c r="K644" s="18" t="s">
        <v>281</v>
      </c>
      <c r="L644" s="19" t="s">
        <v>372</v>
      </c>
    </row>
    <row r="645" spans="1:12" ht="18" customHeight="1">
      <c r="A645" s="16" t="s">
        <v>4399</v>
      </c>
      <c r="B645" s="17" t="s">
        <v>2754</v>
      </c>
      <c r="C645" s="18" t="s">
        <v>56</v>
      </c>
      <c r="D645" s="18" t="s">
        <v>4400</v>
      </c>
      <c r="E645" s="18" t="s">
        <v>4401</v>
      </c>
      <c r="F645" s="18" t="s">
        <v>350</v>
      </c>
      <c r="G645" s="18" t="s">
        <v>60</v>
      </c>
      <c r="H645" s="18" t="s">
        <v>253</v>
      </c>
      <c r="I645" s="18" t="s">
        <v>4402</v>
      </c>
      <c r="J645" s="18" t="s">
        <v>4403</v>
      </c>
      <c r="K645" s="18" t="s">
        <v>281</v>
      </c>
      <c r="L645" s="19" t="s">
        <v>372</v>
      </c>
    </row>
    <row r="646" spans="1:12" ht="18" customHeight="1">
      <c r="A646" s="16" t="s">
        <v>4404</v>
      </c>
      <c r="B646" s="17" t="s">
        <v>2754</v>
      </c>
      <c r="C646" s="18" t="s">
        <v>56</v>
      </c>
      <c r="D646" s="18" t="s">
        <v>4405</v>
      </c>
      <c r="E646" s="18" t="s">
        <v>4406</v>
      </c>
      <c r="F646" s="18" t="s">
        <v>350</v>
      </c>
      <c r="G646" s="18" t="s">
        <v>60</v>
      </c>
      <c r="H646" s="18" t="s">
        <v>253</v>
      </c>
      <c r="I646" s="18" t="s">
        <v>4407</v>
      </c>
      <c r="J646" s="18" t="s">
        <v>371</v>
      </c>
      <c r="K646" s="18" t="s">
        <v>281</v>
      </c>
      <c r="L646" s="19" t="s">
        <v>372</v>
      </c>
    </row>
    <row r="647" spans="1:12" ht="18" customHeight="1">
      <c r="A647" s="16" t="s">
        <v>4408</v>
      </c>
      <c r="B647" s="17" t="s">
        <v>2742</v>
      </c>
      <c r="C647" s="18" t="s">
        <v>56</v>
      </c>
      <c r="D647" s="18" t="s">
        <v>4400</v>
      </c>
      <c r="E647" s="18" t="s">
        <v>4409</v>
      </c>
      <c r="F647" s="18" t="s">
        <v>350</v>
      </c>
      <c r="G647" s="18" t="s">
        <v>60</v>
      </c>
      <c r="H647" s="18" t="s">
        <v>253</v>
      </c>
      <c r="I647" s="18" t="s">
        <v>4410</v>
      </c>
      <c r="J647" s="18" t="s">
        <v>4411</v>
      </c>
      <c r="K647" s="18" t="s">
        <v>281</v>
      </c>
      <c r="L647" s="19">
        <v>6030</v>
      </c>
    </row>
    <row r="648" spans="1:12" ht="18" customHeight="1">
      <c r="A648" s="16" t="s">
        <v>4412</v>
      </c>
      <c r="B648" s="17"/>
      <c r="C648" s="18" t="s">
        <v>56</v>
      </c>
      <c r="D648" s="18" t="s">
        <v>4413</v>
      </c>
      <c r="E648" s="18" t="s">
        <v>4414</v>
      </c>
      <c r="F648" s="18"/>
      <c r="G648" s="18" t="s">
        <v>60</v>
      </c>
      <c r="H648" s="18" t="s">
        <v>61</v>
      </c>
      <c r="I648" s="18" t="s">
        <v>4415</v>
      </c>
      <c r="J648" s="18" t="s">
        <v>4070</v>
      </c>
      <c r="K648" s="18" t="s">
        <v>61</v>
      </c>
      <c r="L648" s="19">
        <v>20239</v>
      </c>
    </row>
    <row r="649" spans="1:12" ht="18" customHeight="1">
      <c r="A649" s="16" t="s">
        <v>4416</v>
      </c>
      <c r="B649" s="17"/>
      <c r="C649" s="18" t="s">
        <v>56</v>
      </c>
      <c r="D649" s="18" t="s">
        <v>4417</v>
      </c>
      <c r="E649" s="18" t="s">
        <v>4418</v>
      </c>
      <c r="F649" s="18"/>
      <c r="G649" s="18" t="s">
        <v>60</v>
      </c>
      <c r="H649" s="18" t="s">
        <v>76</v>
      </c>
      <c r="I649" s="18" t="s">
        <v>4415</v>
      </c>
      <c r="J649" s="18" t="s">
        <v>4074</v>
      </c>
      <c r="K649" s="18" t="s">
        <v>79</v>
      </c>
      <c r="L649" s="19">
        <v>23040</v>
      </c>
    </row>
    <row r="650" spans="1:12" ht="18" customHeight="1">
      <c r="A650" s="16" t="s">
        <v>4419</v>
      </c>
      <c r="B650" s="17"/>
      <c r="C650" s="18" t="s">
        <v>56</v>
      </c>
      <c r="D650" s="18" t="s">
        <v>4420</v>
      </c>
      <c r="E650" s="18" t="s">
        <v>4421</v>
      </c>
      <c r="F650" s="18"/>
      <c r="G650" s="18" t="s">
        <v>60</v>
      </c>
      <c r="H650" s="18" t="s">
        <v>68</v>
      </c>
      <c r="I650" s="18" t="s">
        <v>4415</v>
      </c>
      <c r="J650" s="18" t="s">
        <v>4078</v>
      </c>
      <c r="K650" s="18" t="s">
        <v>71</v>
      </c>
      <c r="L650" s="19">
        <v>21259</v>
      </c>
    </row>
    <row r="651" spans="1:12" ht="18" customHeight="1">
      <c r="A651" s="16" t="s">
        <v>4422</v>
      </c>
      <c r="B651" s="17"/>
      <c r="C651" s="18" t="s">
        <v>56</v>
      </c>
      <c r="D651" s="18" t="s">
        <v>4423</v>
      </c>
      <c r="E651" s="18" t="s">
        <v>4424</v>
      </c>
      <c r="F651" s="18"/>
      <c r="G651" s="18" t="s">
        <v>60</v>
      </c>
      <c r="H651" s="18" t="s">
        <v>84</v>
      </c>
      <c r="I651" s="18" t="s">
        <v>4415</v>
      </c>
      <c r="J651" s="18" t="s">
        <v>4082</v>
      </c>
      <c r="K651" s="18" t="s">
        <v>84</v>
      </c>
      <c r="L651" s="19">
        <v>24010</v>
      </c>
    </row>
    <row r="652" spans="1:12" ht="18" customHeight="1">
      <c r="A652" s="16" t="s">
        <v>4425</v>
      </c>
      <c r="B652" s="17"/>
      <c r="C652" s="18" t="s">
        <v>56</v>
      </c>
      <c r="D652" s="18" t="s">
        <v>4426</v>
      </c>
      <c r="E652" s="18" t="s">
        <v>4427</v>
      </c>
      <c r="F652" s="18"/>
      <c r="G652" s="18" t="s">
        <v>60</v>
      </c>
      <c r="H652" s="18" t="s">
        <v>91</v>
      </c>
      <c r="I652" s="18" t="s">
        <v>4415</v>
      </c>
      <c r="J652" s="18" t="s">
        <v>4086</v>
      </c>
      <c r="K652" s="18" t="s">
        <v>94</v>
      </c>
      <c r="L652" s="19">
        <v>29034</v>
      </c>
    </row>
    <row r="653" spans="1:12" ht="18" customHeight="1">
      <c r="A653" s="16" t="s">
        <v>4428</v>
      </c>
      <c r="B653" s="17"/>
      <c r="C653" s="18" t="s">
        <v>56</v>
      </c>
      <c r="D653" s="18" t="s">
        <v>4429</v>
      </c>
      <c r="E653" s="18" t="s">
        <v>4430</v>
      </c>
      <c r="F653" s="18"/>
      <c r="G653" s="18" t="s">
        <v>60</v>
      </c>
      <c r="H653" s="18" t="s">
        <v>99</v>
      </c>
      <c r="I653" s="18" t="s">
        <v>4415</v>
      </c>
      <c r="J653" s="18" t="s">
        <v>4090</v>
      </c>
      <c r="K653" s="18" t="s">
        <v>99</v>
      </c>
      <c r="L653" s="19">
        <v>31200</v>
      </c>
    </row>
    <row r="654" spans="1:12" ht="18" customHeight="1">
      <c r="A654" s="16" t="s">
        <v>4431</v>
      </c>
      <c r="B654" s="17"/>
      <c r="C654" s="18" t="s">
        <v>56</v>
      </c>
      <c r="D654" s="18" t="s">
        <v>4432</v>
      </c>
      <c r="E654" s="18" t="s">
        <v>4433</v>
      </c>
      <c r="F654" s="18"/>
      <c r="G654" s="18" t="s">
        <v>60</v>
      </c>
      <c r="H654" s="18" t="s">
        <v>106</v>
      </c>
      <c r="I654" s="18" t="s">
        <v>4415</v>
      </c>
      <c r="J654" s="18" t="s">
        <v>4094</v>
      </c>
      <c r="K654" s="18" t="s">
        <v>109</v>
      </c>
      <c r="L654" s="19">
        <v>25000</v>
      </c>
    </row>
    <row r="655" spans="1:12" ht="18" customHeight="1">
      <c r="A655" s="16" t="s">
        <v>4434</v>
      </c>
      <c r="B655" s="17"/>
      <c r="C655" s="18" t="s">
        <v>56</v>
      </c>
      <c r="D655" s="18" t="s">
        <v>4435</v>
      </c>
      <c r="E655" s="18" t="s">
        <v>4436</v>
      </c>
      <c r="F655" s="18"/>
      <c r="G655" s="18" t="s">
        <v>60</v>
      </c>
      <c r="H655" s="18" t="s">
        <v>114</v>
      </c>
      <c r="I655" s="18" t="s">
        <v>4415</v>
      </c>
      <c r="J655" s="18" t="s">
        <v>4098</v>
      </c>
      <c r="K655" s="18" t="s">
        <v>114</v>
      </c>
      <c r="L655" s="19">
        <v>28017</v>
      </c>
    </row>
    <row r="656" spans="1:12" ht="18" customHeight="1">
      <c r="A656" s="16" t="s">
        <v>4437</v>
      </c>
      <c r="B656" s="17"/>
      <c r="C656" s="18" t="s">
        <v>56</v>
      </c>
      <c r="D656" s="18" t="s">
        <v>4438</v>
      </c>
      <c r="E656" s="18" t="s">
        <v>4439</v>
      </c>
      <c r="F656" s="18"/>
      <c r="G656" s="18" t="s">
        <v>60</v>
      </c>
      <c r="H656" s="18" t="s">
        <v>121</v>
      </c>
      <c r="I656" s="18" t="s">
        <v>4415</v>
      </c>
      <c r="J656" s="18" t="s">
        <v>4102</v>
      </c>
      <c r="K656" s="18" t="s">
        <v>121</v>
      </c>
      <c r="L656" s="19">
        <v>34270</v>
      </c>
    </row>
    <row r="657" spans="1:12" ht="18" customHeight="1">
      <c r="A657" s="16" t="s">
        <v>4440</v>
      </c>
      <c r="B657" s="17"/>
      <c r="C657" s="18" t="s">
        <v>56</v>
      </c>
      <c r="D657" s="18" t="s">
        <v>4441</v>
      </c>
      <c r="E657" s="18" t="s">
        <v>4442</v>
      </c>
      <c r="F657" s="18"/>
      <c r="G657" s="18" t="s">
        <v>60</v>
      </c>
      <c r="H657" s="18" t="s">
        <v>294</v>
      </c>
      <c r="I657" s="18" t="s">
        <v>4415</v>
      </c>
      <c r="J657" s="18" t="s">
        <v>2786</v>
      </c>
      <c r="K657" s="18" t="s">
        <v>1162</v>
      </c>
      <c r="L657" s="19">
        <v>50071</v>
      </c>
    </row>
    <row r="658" spans="1:12" ht="18" customHeight="1">
      <c r="A658" s="16" t="s">
        <v>4443</v>
      </c>
      <c r="B658" s="17"/>
      <c r="C658" s="18" t="s">
        <v>56</v>
      </c>
      <c r="D658" s="18" t="s">
        <v>4444</v>
      </c>
      <c r="E658" s="18" t="s">
        <v>4445</v>
      </c>
      <c r="F658" s="18"/>
      <c r="G658" s="18" t="s">
        <v>60</v>
      </c>
      <c r="H658" s="18" t="s">
        <v>128</v>
      </c>
      <c r="I658" s="18" t="s">
        <v>4415</v>
      </c>
      <c r="J658" s="18" t="s">
        <v>310</v>
      </c>
      <c r="K658" s="18" t="s">
        <v>131</v>
      </c>
      <c r="L658" s="19">
        <v>38020</v>
      </c>
    </row>
    <row r="659" spans="1:12" ht="18" customHeight="1">
      <c r="A659" s="16" t="s">
        <v>4446</v>
      </c>
      <c r="B659" s="17"/>
      <c r="C659" s="18" t="s">
        <v>56</v>
      </c>
      <c r="D659" s="18" t="s">
        <v>4447</v>
      </c>
      <c r="E659" s="18" t="s">
        <v>4448</v>
      </c>
      <c r="F659" s="18"/>
      <c r="G659" s="18" t="s">
        <v>60</v>
      </c>
      <c r="H659" s="18" t="s">
        <v>136</v>
      </c>
      <c r="I659" s="18" t="s">
        <v>4415</v>
      </c>
      <c r="J659" s="18" t="s">
        <v>4106</v>
      </c>
      <c r="K659" s="18" t="s">
        <v>139</v>
      </c>
      <c r="L659" s="19">
        <v>39690</v>
      </c>
    </row>
    <row r="660" spans="1:12" ht="18" customHeight="1">
      <c r="A660" s="16" t="s">
        <v>4449</v>
      </c>
      <c r="B660" s="17"/>
      <c r="C660" s="18" t="s">
        <v>56</v>
      </c>
      <c r="D660" s="18" t="s">
        <v>4450</v>
      </c>
      <c r="E660" s="18" t="s">
        <v>4451</v>
      </c>
      <c r="F660" s="18"/>
      <c r="G660" s="18" t="s">
        <v>60</v>
      </c>
      <c r="H660" s="18" t="s">
        <v>583</v>
      </c>
      <c r="I660" s="18" t="s">
        <v>4415</v>
      </c>
      <c r="J660" s="18" t="s">
        <v>4110</v>
      </c>
      <c r="K660" s="18" t="s">
        <v>2664</v>
      </c>
      <c r="L660" s="19">
        <v>42080</v>
      </c>
    </row>
    <row r="661" spans="1:12" ht="18" customHeight="1">
      <c r="A661" s="16" t="s">
        <v>4452</v>
      </c>
      <c r="B661" s="17"/>
      <c r="C661" s="18" t="s">
        <v>56</v>
      </c>
      <c r="D661" s="18" t="s">
        <v>4453</v>
      </c>
      <c r="E661" s="18" t="s">
        <v>4454</v>
      </c>
      <c r="F661" s="18"/>
      <c r="G661" s="18" t="s">
        <v>60</v>
      </c>
      <c r="H661" s="18" t="s">
        <v>632</v>
      </c>
      <c r="I661" s="18" t="s">
        <v>4415</v>
      </c>
      <c r="J661" s="18" t="s">
        <v>1174</v>
      </c>
      <c r="K661" s="18" t="s">
        <v>915</v>
      </c>
      <c r="L661" s="19">
        <v>44270</v>
      </c>
    </row>
    <row r="662" spans="1:12" ht="18" customHeight="1">
      <c r="A662" s="16" t="s">
        <v>4455</v>
      </c>
      <c r="B662" s="17"/>
      <c r="C662" s="18" t="s">
        <v>56</v>
      </c>
      <c r="D662" s="18" t="s">
        <v>4456</v>
      </c>
      <c r="E662" s="18" t="s">
        <v>4457</v>
      </c>
      <c r="F662" s="18"/>
      <c r="G662" s="18" t="s">
        <v>60</v>
      </c>
      <c r="H662" s="18" t="s">
        <v>1186</v>
      </c>
      <c r="I662" s="18" t="s">
        <v>4415</v>
      </c>
      <c r="J662" s="18" t="s">
        <v>4117</v>
      </c>
      <c r="K662" s="18" t="s">
        <v>1189</v>
      </c>
      <c r="L662" s="19">
        <v>58010</v>
      </c>
    </row>
    <row r="663" spans="1:12" ht="18" customHeight="1">
      <c r="A663" s="16" t="s">
        <v>4458</v>
      </c>
      <c r="B663" s="17"/>
      <c r="C663" s="18" t="s">
        <v>56</v>
      </c>
      <c r="D663" s="18" t="s">
        <v>4459</v>
      </c>
      <c r="E663" s="18" t="s">
        <v>4460</v>
      </c>
      <c r="F663" s="18"/>
      <c r="G663" s="18" t="s">
        <v>60</v>
      </c>
      <c r="H663" s="18" t="s">
        <v>351</v>
      </c>
      <c r="I663" s="18" t="s">
        <v>4415</v>
      </c>
      <c r="J663" s="18" t="s">
        <v>4271</v>
      </c>
      <c r="K663" s="18" t="s">
        <v>1047</v>
      </c>
      <c r="L663" s="19">
        <v>62050</v>
      </c>
    </row>
    <row r="664" spans="1:12" ht="18" customHeight="1">
      <c r="A664" s="16" t="s">
        <v>4461</v>
      </c>
      <c r="B664" s="17"/>
      <c r="C664" s="18" t="s">
        <v>56</v>
      </c>
      <c r="D664" s="18" t="s">
        <v>4462</v>
      </c>
      <c r="E664" s="18" t="s">
        <v>4463</v>
      </c>
      <c r="F664" s="18"/>
      <c r="G664" s="18" t="s">
        <v>60</v>
      </c>
      <c r="H664" s="18" t="s">
        <v>152</v>
      </c>
      <c r="I664" s="18" t="s">
        <v>4415</v>
      </c>
      <c r="J664" s="18" t="s">
        <v>4121</v>
      </c>
      <c r="K664" s="18" t="s">
        <v>155</v>
      </c>
      <c r="L664" s="19">
        <v>63000</v>
      </c>
    </row>
    <row r="665" spans="1:12" ht="18" customHeight="1">
      <c r="A665" s="16" t="s">
        <v>4464</v>
      </c>
      <c r="B665" s="17"/>
      <c r="C665" s="18" t="s">
        <v>56</v>
      </c>
      <c r="D665" s="18" t="s">
        <v>4465</v>
      </c>
      <c r="E665" s="18" t="s">
        <v>4466</v>
      </c>
      <c r="F665" s="18"/>
      <c r="G665" s="18" t="s">
        <v>60</v>
      </c>
      <c r="H665" s="18" t="s">
        <v>160</v>
      </c>
      <c r="I665" s="18" t="s">
        <v>4415</v>
      </c>
      <c r="J665" s="18" t="s">
        <v>4125</v>
      </c>
      <c r="K665" s="18" t="s">
        <v>930</v>
      </c>
      <c r="L665" s="19">
        <v>64060</v>
      </c>
    </row>
    <row r="666" spans="1:12" ht="18" customHeight="1">
      <c r="A666" s="16" t="s">
        <v>4467</v>
      </c>
      <c r="B666" s="17"/>
      <c r="C666" s="18" t="s">
        <v>56</v>
      </c>
      <c r="D666" s="18" t="s">
        <v>4468</v>
      </c>
      <c r="E666" s="18" t="s">
        <v>4469</v>
      </c>
      <c r="F666" s="18"/>
      <c r="G666" s="18" t="s">
        <v>60</v>
      </c>
      <c r="H666" s="18" t="s">
        <v>1153</v>
      </c>
      <c r="I666" s="18" t="s">
        <v>4415</v>
      </c>
      <c r="J666" s="18" t="s">
        <v>4288</v>
      </c>
      <c r="K666" s="18" t="s">
        <v>1153</v>
      </c>
      <c r="L666" s="19">
        <v>68050</v>
      </c>
    </row>
    <row r="667" spans="1:12" ht="18" customHeight="1">
      <c r="A667" s="16" t="s">
        <v>4470</v>
      </c>
      <c r="B667" s="17"/>
      <c r="C667" s="18" t="s">
        <v>56</v>
      </c>
      <c r="D667" s="18" t="s">
        <v>4471</v>
      </c>
      <c r="E667" s="18" t="s">
        <v>4472</v>
      </c>
      <c r="F667" s="18"/>
      <c r="G667" s="18" t="s">
        <v>60</v>
      </c>
      <c r="H667" s="18" t="s">
        <v>168</v>
      </c>
      <c r="I667" s="18" t="s">
        <v>4415</v>
      </c>
      <c r="J667" s="18" t="s">
        <v>1129</v>
      </c>
      <c r="K667" s="18" t="s">
        <v>168</v>
      </c>
      <c r="L667" s="19">
        <v>72140</v>
      </c>
    </row>
    <row r="668" spans="1:12" ht="18" customHeight="1">
      <c r="A668" s="16" t="s">
        <v>4473</v>
      </c>
      <c r="B668" s="17"/>
      <c r="C668" s="18" t="s">
        <v>56</v>
      </c>
      <c r="D668" s="18" t="s">
        <v>4474</v>
      </c>
      <c r="E668" s="18" t="s">
        <v>4475</v>
      </c>
      <c r="F668" s="18"/>
      <c r="G668" s="18" t="s">
        <v>60</v>
      </c>
      <c r="H668" s="18" t="s">
        <v>175</v>
      </c>
      <c r="I668" s="18" t="s">
        <v>4415</v>
      </c>
      <c r="J668" s="18" t="s">
        <v>4299</v>
      </c>
      <c r="K668" s="18" t="s">
        <v>175</v>
      </c>
      <c r="L668" s="19">
        <v>76030</v>
      </c>
    </row>
    <row r="669" spans="1:12" ht="18" customHeight="1">
      <c r="A669" s="16" t="s">
        <v>4476</v>
      </c>
      <c r="B669" s="17"/>
      <c r="C669" s="18" t="s">
        <v>56</v>
      </c>
      <c r="D669" s="18" t="s">
        <v>4477</v>
      </c>
      <c r="E669" s="18" t="s">
        <v>4478</v>
      </c>
      <c r="F669" s="18"/>
      <c r="G669" s="18" t="s">
        <v>60</v>
      </c>
      <c r="H669" s="18" t="s">
        <v>182</v>
      </c>
      <c r="I669" s="18" t="s">
        <v>4415</v>
      </c>
      <c r="J669" s="18" t="s">
        <v>4305</v>
      </c>
      <c r="K669" s="18" t="s">
        <v>185</v>
      </c>
      <c r="L669" s="19">
        <v>77000</v>
      </c>
    </row>
    <row r="670" spans="1:12" ht="18" customHeight="1">
      <c r="A670" s="16" t="s">
        <v>4479</v>
      </c>
      <c r="B670" s="17"/>
      <c r="C670" s="18" t="s">
        <v>56</v>
      </c>
      <c r="D670" s="18" t="s">
        <v>4480</v>
      </c>
      <c r="E670" s="18" t="s">
        <v>4481</v>
      </c>
      <c r="F670" s="18"/>
      <c r="G670" s="18" t="s">
        <v>60</v>
      </c>
      <c r="H670" s="18" t="s">
        <v>190</v>
      </c>
      <c r="I670" s="18" t="s">
        <v>4415</v>
      </c>
      <c r="J670" s="18" t="s">
        <v>4132</v>
      </c>
      <c r="K670" s="18" t="s">
        <v>190</v>
      </c>
      <c r="L670" s="19">
        <v>78233</v>
      </c>
    </row>
    <row r="671" spans="1:12" ht="18" customHeight="1">
      <c r="A671" s="16" t="s">
        <v>4482</v>
      </c>
      <c r="B671" s="17"/>
      <c r="C671" s="18" t="s">
        <v>56</v>
      </c>
      <c r="D671" s="18" t="s">
        <v>4483</v>
      </c>
      <c r="E671" s="18" t="s">
        <v>4484</v>
      </c>
      <c r="F671" s="18"/>
      <c r="G671" s="18" t="s">
        <v>60</v>
      </c>
      <c r="H671" s="18" t="s">
        <v>504</v>
      </c>
      <c r="I671" s="18" t="s">
        <v>4415</v>
      </c>
      <c r="J671" s="18" t="s">
        <v>4136</v>
      </c>
      <c r="K671" s="18" t="s">
        <v>894</v>
      </c>
      <c r="L671" s="19">
        <v>80020</v>
      </c>
    </row>
    <row r="672" spans="1:12" ht="18" customHeight="1">
      <c r="A672" s="16" t="s">
        <v>4485</v>
      </c>
      <c r="B672" s="17"/>
      <c r="C672" s="18" t="s">
        <v>56</v>
      </c>
      <c r="D672" s="18" t="s">
        <v>4486</v>
      </c>
      <c r="E672" s="18" t="s">
        <v>4487</v>
      </c>
      <c r="F672" s="18"/>
      <c r="G672" s="18" t="s">
        <v>60</v>
      </c>
      <c r="H672" s="18" t="s">
        <v>197</v>
      </c>
      <c r="I672" s="18" t="s">
        <v>4415</v>
      </c>
      <c r="J672" s="18" t="s">
        <v>4140</v>
      </c>
      <c r="K672" s="18" t="s">
        <v>200</v>
      </c>
      <c r="L672" s="19">
        <v>83280</v>
      </c>
    </row>
    <row r="673" spans="1:12" ht="18" customHeight="1">
      <c r="A673" s="16" t="s">
        <v>4488</v>
      </c>
      <c r="B673" s="17"/>
      <c r="C673" s="18" t="s">
        <v>56</v>
      </c>
      <c r="D673" s="18" t="s">
        <v>4489</v>
      </c>
      <c r="E673" s="18" t="s">
        <v>4490</v>
      </c>
      <c r="F673" s="18"/>
      <c r="G673" s="18" t="s">
        <v>60</v>
      </c>
      <c r="H673" s="18" t="s">
        <v>205</v>
      </c>
      <c r="I673" s="18" t="s">
        <v>4415</v>
      </c>
      <c r="J673" s="18" t="s">
        <v>2945</v>
      </c>
      <c r="K673" s="18" t="s">
        <v>208</v>
      </c>
      <c r="L673" s="19">
        <v>86000</v>
      </c>
    </row>
    <row r="674" spans="1:12" ht="18" customHeight="1">
      <c r="A674" s="16" t="s">
        <v>4491</v>
      </c>
      <c r="B674" s="17"/>
      <c r="C674" s="18" t="s">
        <v>56</v>
      </c>
      <c r="D674" s="18" t="s">
        <v>4492</v>
      </c>
      <c r="E674" s="18" t="s">
        <v>4493</v>
      </c>
      <c r="F674" s="18"/>
      <c r="G674" s="18" t="s">
        <v>60</v>
      </c>
      <c r="H674" s="18" t="s">
        <v>213</v>
      </c>
      <c r="I674" s="18" t="s">
        <v>4415</v>
      </c>
      <c r="J674" s="18" t="s">
        <v>4144</v>
      </c>
      <c r="K674" s="18" t="s">
        <v>216</v>
      </c>
      <c r="L674" s="19">
        <v>87000</v>
      </c>
    </row>
    <row r="675" spans="1:12" ht="18" customHeight="1">
      <c r="A675" s="16" t="s">
        <v>4494</v>
      </c>
      <c r="B675" s="17"/>
      <c r="C675" s="18" t="s">
        <v>56</v>
      </c>
      <c r="D675" s="18" t="s">
        <v>4495</v>
      </c>
      <c r="E675" s="18" t="s">
        <v>4496</v>
      </c>
      <c r="F675" s="18"/>
      <c r="G675" s="18" t="s">
        <v>60</v>
      </c>
      <c r="H675" s="18" t="s">
        <v>221</v>
      </c>
      <c r="I675" s="18" t="s">
        <v>4415</v>
      </c>
      <c r="J675" s="18" t="s">
        <v>1135</v>
      </c>
      <c r="K675" s="18" t="s">
        <v>221</v>
      </c>
      <c r="L675" s="19">
        <v>90300</v>
      </c>
    </row>
    <row r="676" spans="1:12" ht="18" customHeight="1">
      <c r="A676" s="16" t="s">
        <v>4497</v>
      </c>
      <c r="B676" s="17"/>
      <c r="C676" s="18" t="s">
        <v>56</v>
      </c>
      <c r="D676" s="18" t="s">
        <v>4498</v>
      </c>
      <c r="E676" s="18" t="s">
        <v>4499</v>
      </c>
      <c r="F676" s="18"/>
      <c r="G676" s="18" t="s">
        <v>60</v>
      </c>
      <c r="H676" s="18" t="s">
        <v>616</v>
      </c>
      <c r="I676" s="18" t="s">
        <v>4415</v>
      </c>
      <c r="J676" s="18" t="s">
        <v>2956</v>
      </c>
      <c r="K676" s="18" t="s">
        <v>1181</v>
      </c>
      <c r="L676" s="19">
        <v>91010</v>
      </c>
    </row>
    <row r="677" spans="1:12" ht="18" customHeight="1">
      <c r="A677" s="16" t="s">
        <v>4500</v>
      </c>
      <c r="B677" s="17"/>
      <c r="C677" s="18" t="s">
        <v>56</v>
      </c>
      <c r="D677" s="18" t="s">
        <v>4501</v>
      </c>
      <c r="E677" s="18" t="s">
        <v>4502</v>
      </c>
      <c r="F677" s="18"/>
      <c r="G677" s="18" t="s">
        <v>60</v>
      </c>
      <c r="H677" s="18" t="s">
        <v>144</v>
      </c>
      <c r="I677" s="18" t="s">
        <v>4415</v>
      </c>
      <c r="J677" s="18" t="s">
        <v>4349</v>
      </c>
      <c r="K677" s="18" t="s">
        <v>147</v>
      </c>
      <c r="L677" s="19">
        <v>97100</v>
      </c>
    </row>
    <row r="678" spans="1:12" ht="18" customHeight="1">
      <c r="A678" s="16" t="s">
        <v>4503</v>
      </c>
      <c r="B678" s="17"/>
      <c r="C678" s="18" t="s">
        <v>56</v>
      </c>
      <c r="D678" s="18" t="s">
        <v>4504</v>
      </c>
      <c r="E678" s="18" t="s">
        <v>4505</v>
      </c>
      <c r="F678" s="18"/>
      <c r="G678" s="18" t="s">
        <v>60</v>
      </c>
      <c r="H678" s="18" t="s">
        <v>228</v>
      </c>
      <c r="I678" s="18" t="s">
        <v>4415</v>
      </c>
      <c r="J678" s="18" t="s">
        <v>4066</v>
      </c>
      <c r="K678" s="18" t="s">
        <v>163</v>
      </c>
      <c r="L678" s="19">
        <v>98604</v>
      </c>
    </row>
    <row r="679" spans="1:12" ht="18" customHeight="1">
      <c r="A679" s="16" t="s">
        <v>4506</v>
      </c>
      <c r="B679" s="17"/>
      <c r="C679" s="18" t="s">
        <v>56</v>
      </c>
      <c r="D679" s="18" t="s">
        <v>4507</v>
      </c>
      <c r="E679" s="18" t="s">
        <v>4508</v>
      </c>
      <c r="F679" s="18"/>
      <c r="G679" s="18" t="s">
        <v>60</v>
      </c>
      <c r="H679" s="18" t="s">
        <v>253</v>
      </c>
      <c r="I679" s="18" t="s">
        <v>4509</v>
      </c>
      <c r="J679" s="18" t="s">
        <v>4155</v>
      </c>
      <c r="K679" s="18" t="s">
        <v>281</v>
      </c>
      <c r="L679" s="19">
        <v>6600</v>
      </c>
    </row>
    <row r="680" spans="1:12" ht="18" customHeight="1">
      <c r="A680" s="16" t="s">
        <v>4510</v>
      </c>
      <c r="B680" s="17"/>
      <c r="C680" s="18" t="s">
        <v>56</v>
      </c>
      <c r="D680" s="18" t="s">
        <v>4511</v>
      </c>
      <c r="E680" s="18" t="s">
        <v>4512</v>
      </c>
      <c r="F680" s="18"/>
      <c r="G680" s="18" t="s">
        <v>60</v>
      </c>
      <c r="H680" s="18" t="s">
        <v>253</v>
      </c>
      <c r="I680" s="18" t="s">
        <v>4513</v>
      </c>
      <c r="J680" s="18" t="s">
        <v>3769</v>
      </c>
      <c r="K680" s="18" t="s">
        <v>1277</v>
      </c>
      <c r="L680" s="19" t="s">
        <v>1278</v>
      </c>
    </row>
    <row r="681" spans="1:12" ht="18" customHeight="1">
      <c r="A681" s="16" t="s">
        <v>4514</v>
      </c>
      <c r="B681" s="17"/>
      <c r="C681" s="18" t="s">
        <v>56</v>
      </c>
      <c r="D681" s="18" t="s">
        <v>4515</v>
      </c>
      <c r="E681" s="18" t="s">
        <v>4516</v>
      </c>
      <c r="F681" s="18"/>
      <c r="G681" s="18" t="s">
        <v>60</v>
      </c>
      <c r="H681" s="18" t="s">
        <v>253</v>
      </c>
      <c r="I681" s="18" t="s">
        <v>4517</v>
      </c>
      <c r="J681" s="18" t="s">
        <v>4164</v>
      </c>
      <c r="K681" s="18" t="s">
        <v>1060</v>
      </c>
      <c r="L681" s="19">
        <v>11850</v>
      </c>
    </row>
    <row r="682" spans="1:12" ht="18" customHeight="1">
      <c r="A682" s="16" t="s">
        <v>4518</v>
      </c>
      <c r="B682" s="17"/>
      <c r="C682" s="18" t="s">
        <v>56</v>
      </c>
      <c r="D682" s="18" t="s">
        <v>4519</v>
      </c>
      <c r="E682" s="18" t="s">
        <v>4520</v>
      </c>
      <c r="F682" s="18"/>
      <c r="G682" s="18" t="s">
        <v>60</v>
      </c>
      <c r="H682" s="18" t="s">
        <v>253</v>
      </c>
      <c r="I682" s="18" t="s">
        <v>4521</v>
      </c>
      <c r="J682" s="18" t="s">
        <v>1118</v>
      </c>
      <c r="K682" s="18" t="s">
        <v>1028</v>
      </c>
      <c r="L682" s="19">
        <v>14070</v>
      </c>
    </row>
    <row r="683" spans="1:12" ht="18" customHeight="1">
      <c r="A683" s="16" t="s">
        <v>4522</v>
      </c>
      <c r="B683" s="17" t="s">
        <v>4523</v>
      </c>
      <c r="C683" s="18" t="s">
        <v>56</v>
      </c>
      <c r="D683" s="18" t="s">
        <v>4524</v>
      </c>
      <c r="E683" s="18" t="s">
        <v>4525</v>
      </c>
      <c r="F683" s="18" t="s">
        <v>350</v>
      </c>
      <c r="G683" s="18" t="s">
        <v>60</v>
      </c>
      <c r="H683" s="18" t="s">
        <v>253</v>
      </c>
      <c r="I683" s="18" t="s">
        <v>4526</v>
      </c>
      <c r="J683" s="18" t="s">
        <v>4527</v>
      </c>
      <c r="K683" s="18" t="s">
        <v>1277</v>
      </c>
      <c r="L683" s="19" t="s">
        <v>1278</v>
      </c>
    </row>
    <row r="684" spans="1:12" ht="18" customHeight="1">
      <c r="A684" s="16" t="s">
        <v>4528</v>
      </c>
      <c r="B684" s="17" t="s">
        <v>4529</v>
      </c>
      <c r="C684" s="18" t="s">
        <v>56</v>
      </c>
      <c r="D684" s="18" t="s">
        <v>4530</v>
      </c>
      <c r="E684" s="18" t="s">
        <v>4531</v>
      </c>
      <c r="F684" s="18" t="s">
        <v>350</v>
      </c>
      <c r="G684" s="18" t="s">
        <v>60</v>
      </c>
      <c r="H684" s="18" t="s">
        <v>160</v>
      </c>
      <c r="I684" s="18" t="s">
        <v>4526</v>
      </c>
      <c r="J684" s="18" t="s">
        <v>4532</v>
      </c>
      <c r="K684" s="18" t="s">
        <v>930</v>
      </c>
      <c r="L684" s="19">
        <v>64000</v>
      </c>
    </row>
    <row r="685" spans="1:12" ht="18" customHeight="1">
      <c r="A685" s="16" t="s">
        <v>4533</v>
      </c>
      <c r="B685" s="17" t="s">
        <v>4534</v>
      </c>
      <c r="C685" s="18" t="s">
        <v>56</v>
      </c>
      <c r="D685" s="18" t="s">
        <v>4535</v>
      </c>
      <c r="E685" s="18" t="s">
        <v>4536</v>
      </c>
      <c r="F685" s="18" t="s">
        <v>350</v>
      </c>
      <c r="G685" s="18" t="s">
        <v>60</v>
      </c>
      <c r="H685" s="18" t="s">
        <v>1153</v>
      </c>
      <c r="I685" s="18" t="s">
        <v>4526</v>
      </c>
      <c r="J685" s="18" t="s">
        <v>4537</v>
      </c>
      <c r="K685" s="18" t="s">
        <v>1153</v>
      </c>
      <c r="L685" s="19">
        <v>68050</v>
      </c>
    </row>
    <row r="686" spans="1:12" ht="18" customHeight="1">
      <c r="A686" s="16" t="s">
        <v>4538</v>
      </c>
      <c r="B686" s="17" t="s">
        <v>4539</v>
      </c>
      <c r="C686" s="18" t="s">
        <v>56</v>
      </c>
      <c r="D686" s="18" t="s">
        <v>4540</v>
      </c>
      <c r="E686" s="18" t="s">
        <v>4541</v>
      </c>
      <c r="F686" s="18" t="s">
        <v>350</v>
      </c>
      <c r="G686" s="18" t="s">
        <v>60</v>
      </c>
      <c r="H686" s="18" t="s">
        <v>213</v>
      </c>
      <c r="I686" s="18" t="s">
        <v>4526</v>
      </c>
      <c r="J686" s="18" t="s">
        <v>4542</v>
      </c>
      <c r="K686" s="18" t="s">
        <v>216</v>
      </c>
      <c r="L686" s="19">
        <v>87090</v>
      </c>
    </row>
    <row r="687" spans="1:12" ht="18" customHeight="1">
      <c r="A687" s="16" t="s">
        <v>4543</v>
      </c>
      <c r="B687" s="17"/>
      <c r="C687" s="18" t="s">
        <v>56</v>
      </c>
      <c r="D687" s="18" t="s">
        <v>4544</v>
      </c>
      <c r="E687" s="18" t="s">
        <v>4545</v>
      </c>
      <c r="F687" s="18"/>
      <c r="G687" s="18" t="s">
        <v>60</v>
      </c>
      <c r="H687" s="18" t="s">
        <v>61</v>
      </c>
      <c r="I687" s="18" t="s">
        <v>4526</v>
      </c>
      <c r="J687" s="18" t="s">
        <v>4070</v>
      </c>
      <c r="K687" s="18" t="s">
        <v>61</v>
      </c>
      <c r="L687" s="19">
        <v>20239</v>
      </c>
    </row>
    <row r="688" spans="1:12" ht="18" customHeight="1">
      <c r="A688" s="16" t="s">
        <v>4546</v>
      </c>
      <c r="B688" s="17"/>
      <c r="C688" s="18" t="s">
        <v>56</v>
      </c>
      <c r="D688" s="18" t="s">
        <v>4547</v>
      </c>
      <c r="E688" s="18" t="s">
        <v>4548</v>
      </c>
      <c r="F688" s="18"/>
      <c r="G688" s="18" t="s">
        <v>60</v>
      </c>
      <c r="H688" s="18" t="s">
        <v>76</v>
      </c>
      <c r="I688" s="18" t="s">
        <v>4526</v>
      </c>
      <c r="J688" s="18" t="s">
        <v>4074</v>
      </c>
      <c r="K688" s="18" t="s">
        <v>79</v>
      </c>
      <c r="L688" s="19">
        <v>23040</v>
      </c>
    </row>
    <row r="689" spans="1:12" ht="18" customHeight="1">
      <c r="A689" s="16" t="s">
        <v>4549</v>
      </c>
      <c r="B689" s="17"/>
      <c r="C689" s="18" t="s">
        <v>56</v>
      </c>
      <c r="D689" s="18" t="s">
        <v>4550</v>
      </c>
      <c r="E689" s="18" t="s">
        <v>4551</v>
      </c>
      <c r="F689" s="18"/>
      <c r="G689" s="18" t="s">
        <v>60</v>
      </c>
      <c r="H689" s="18" t="s">
        <v>68</v>
      </c>
      <c r="I689" s="18" t="s">
        <v>4526</v>
      </c>
      <c r="J689" s="18" t="s">
        <v>4078</v>
      </c>
      <c r="K689" s="18" t="s">
        <v>71</v>
      </c>
      <c r="L689" s="19">
        <v>21259</v>
      </c>
    </row>
    <row r="690" spans="1:12" ht="18" customHeight="1">
      <c r="A690" s="16" t="s">
        <v>4552</v>
      </c>
      <c r="B690" s="17"/>
      <c r="C690" s="18" t="s">
        <v>56</v>
      </c>
      <c r="D690" s="18" t="s">
        <v>4553</v>
      </c>
      <c r="E690" s="18" t="s">
        <v>4554</v>
      </c>
      <c r="F690" s="18"/>
      <c r="G690" s="18" t="s">
        <v>60</v>
      </c>
      <c r="H690" s="18" t="s">
        <v>84</v>
      </c>
      <c r="I690" s="18" t="s">
        <v>4526</v>
      </c>
      <c r="J690" s="18" t="s">
        <v>4082</v>
      </c>
      <c r="K690" s="18" t="s">
        <v>84</v>
      </c>
      <c r="L690" s="19">
        <v>24010</v>
      </c>
    </row>
    <row r="691" spans="1:12" ht="18" customHeight="1">
      <c r="A691" s="16" t="s">
        <v>4555</v>
      </c>
      <c r="B691" s="17"/>
      <c r="C691" s="18" t="s">
        <v>56</v>
      </c>
      <c r="D691" s="18" t="s">
        <v>4556</v>
      </c>
      <c r="E691" s="18" t="s">
        <v>4557</v>
      </c>
      <c r="F691" s="18"/>
      <c r="G691" s="18" t="s">
        <v>60</v>
      </c>
      <c r="H691" s="18" t="s">
        <v>91</v>
      </c>
      <c r="I691" s="18" t="s">
        <v>4526</v>
      </c>
      <c r="J691" s="18" t="s">
        <v>4086</v>
      </c>
      <c r="K691" s="18" t="s">
        <v>94</v>
      </c>
      <c r="L691" s="19">
        <v>29034</v>
      </c>
    </row>
    <row r="692" spans="1:12" ht="18" customHeight="1">
      <c r="A692" s="16" t="s">
        <v>4558</v>
      </c>
      <c r="B692" s="17"/>
      <c r="C692" s="18" t="s">
        <v>56</v>
      </c>
      <c r="D692" s="18" t="s">
        <v>4559</v>
      </c>
      <c r="E692" s="18" t="s">
        <v>4560</v>
      </c>
      <c r="F692" s="18"/>
      <c r="G692" s="18" t="s">
        <v>60</v>
      </c>
      <c r="H692" s="18" t="s">
        <v>99</v>
      </c>
      <c r="I692" s="18" t="s">
        <v>4526</v>
      </c>
      <c r="J692" s="18" t="s">
        <v>4090</v>
      </c>
      <c r="K692" s="18" t="s">
        <v>99</v>
      </c>
      <c r="L692" s="19">
        <v>31200</v>
      </c>
    </row>
    <row r="693" spans="1:12" ht="18" customHeight="1">
      <c r="A693" s="16" t="s">
        <v>4561</v>
      </c>
      <c r="B693" s="17"/>
      <c r="C693" s="18" t="s">
        <v>56</v>
      </c>
      <c r="D693" s="18" t="s">
        <v>4562</v>
      </c>
      <c r="E693" s="18" t="s">
        <v>4563</v>
      </c>
      <c r="F693" s="18"/>
      <c r="G693" s="18" t="s">
        <v>60</v>
      </c>
      <c r="H693" s="18" t="s">
        <v>106</v>
      </c>
      <c r="I693" s="18" t="s">
        <v>4526</v>
      </c>
      <c r="J693" s="18" t="s">
        <v>4094</v>
      </c>
      <c r="K693" s="18" t="s">
        <v>109</v>
      </c>
      <c r="L693" s="19">
        <v>25000</v>
      </c>
    </row>
    <row r="694" spans="1:12" ht="18" customHeight="1">
      <c r="A694" s="16" t="s">
        <v>4564</v>
      </c>
      <c r="B694" s="17"/>
      <c r="C694" s="18" t="s">
        <v>56</v>
      </c>
      <c r="D694" s="18" t="s">
        <v>4565</v>
      </c>
      <c r="E694" s="18" t="s">
        <v>4566</v>
      </c>
      <c r="F694" s="18"/>
      <c r="G694" s="18" t="s">
        <v>60</v>
      </c>
      <c r="H694" s="18" t="s">
        <v>114</v>
      </c>
      <c r="I694" s="18" t="s">
        <v>4526</v>
      </c>
      <c r="J694" s="18" t="s">
        <v>4098</v>
      </c>
      <c r="K694" s="18" t="s">
        <v>114</v>
      </c>
      <c r="L694" s="19">
        <v>28017</v>
      </c>
    </row>
    <row r="695" spans="1:12" ht="18" customHeight="1">
      <c r="A695" s="16" t="s">
        <v>4567</v>
      </c>
      <c r="B695" s="17"/>
      <c r="C695" s="18" t="s">
        <v>56</v>
      </c>
      <c r="D695" s="18" t="s">
        <v>4568</v>
      </c>
      <c r="E695" s="18" t="s">
        <v>4569</v>
      </c>
      <c r="F695" s="18"/>
      <c r="G695" s="18" t="s">
        <v>60</v>
      </c>
      <c r="H695" s="18" t="s">
        <v>121</v>
      </c>
      <c r="I695" s="18" t="s">
        <v>4526</v>
      </c>
      <c r="J695" s="18" t="s">
        <v>2904</v>
      </c>
      <c r="K695" s="18" t="s">
        <v>121</v>
      </c>
      <c r="L695" s="19">
        <v>34200</v>
      </c>
    </row>
    <row r="696" spans="1:12" ht="18" customHeight="1">
      <c r="A696" s="16" t="s">
        <v>4570</v>
      </c>
      <c r="B696" s="17"/>
      <c r="C696" s="18" t="s">
        <v>56</v>
      </c>
      <c r="D696" s="18" t="s">
        <v>4571</v>
      </c>
      <c r="E696" s="18" t="s">
        <v>4572</v>
      </c>
      <c r="F696" s="18"/>
      <c r="G696" s="18" t="s">
        <v>60</v>
      </c>
      <c r="H696" s="18" t="s">
        <v>128</v>
      </c>
      <c r="I696" s="18" t="s">
        <v>4526</v>
      </c>
      <c r="J696" s="18" t="s">
        <v>310</v>
      </c>
      <c r="K696" s="18" t="s">
        <v>131</v>
      </c>
      <c r="L696" s="19">
        <v>38020</v>
      </c>
    </row>
    <row r="697" spans="1:12" ht="18" customHeight="1">
      <c r="A697" s="16" t="s">
        <v>4573</v>
      </c>
      <c r="B697" s="17"/>
      <c r="C697" s="18" t="s">
        <v>56</v>
      </c>
      <c r="D697" s="18" t="s">
        <v>4574</v>
      </c>
      <c r="E697" s="18" t="s">
        <v>4575</v>
      </c>
      <c r="F697" s="18"/>
      <c r="G697" s="18" t="s">
        <v>60</v>
      </c>
      <c r="H697" s="18" t="s">
        <v>136</v>
      </c>
      <c r="I697" s="18" t="s">
        <v>4526</v>
      </c>
      <c r="J697" s="18" t="s">
        <v>4106</v>
      </c>
      <c r="K697" s="18" t="s">
        <v>139</v>
      </c>
      <c r="L697" s="19">
        <v>39690</v>
      </c>
    </row>
    <row r="698" spans="1:12" ht="18" customHeight="1">
      <c r="A698" s="16" t="s">
        <v>4576</v>
      </c>
      <c r="B698" s="17"/>
      <c r="C698" s="18" t="s">
        <v>56</v>
      </c>
      <c r="D698" s="18" t="s">
        <v>4577</v>
      </c>
      <c r="E698" s="18" t="s">
        <v>4578</v>
      </c>
      <c r="F698" s="18"/>
      <c r="G698" s="18" t="s">
        <v>60</v>
      </c>
      <c r="H698" s="18" t="s">
        <v>583</v>
      </c>
      <c r="I698" s="18" t="s">
        <v>4526</v>
      </c>
      <c r="J698" s="18" t="s">
        <v>4110</v>
      </c>
      <c r="K698" s="18" t="s">
        <v>2664</v>
      </c>
      <c r="L698" s="19">
        <v>42080</v>
      </c>
    </row>
    <row r="699" spans="1:12" ht="18" customHeight="1">
      <c r="A699" s="16" t="s">
        <v>4579</v>
      </c>
      <c r="B699" s="17"/>
      <c r="C699" s="18" t="s">
        <v>56</v>
      </c>
      <c r="D699" s="18" t="s">
        <v>4580</v>
      </c>
      <c r="E699" s="18" t="s">
        <v>4581</v>
      </c>
      <c r="F699" s="18"/>
      <c r="G699" s="18" t="s">
        <v>60</v>
      </c>
      <c r="H699" s="18" t="s">
        <v>632</v>
      </c>
      <c r="I699" s="18" t="s">
        <v>4526</v>
      </c>
      <c r="J699" s="18" t="s">
        <v>1174</v>
      </c>
      <c r="K699" s="18" t="s">
        <v>915</v>
      </c>
      <c r="L699" s="19">
        <v>44270</v>
      </c>
    </row>
    <row r="700" spans="1:12" ht="18" customHeight="1">
      <c r="A700" s="16" t="s">
        <v>4582</v>
      </c>
      <c r="B700" s="17"/>
      <c r="C700" s="18" t="s">
        <v>56</v>
      </c>
      <c r="D700" s="18" t="s">
        <v>4583</v>
      </c>
      <c r="E700" s="18" t="s">
        <v>4584</v>
      </c>
      <c r="F700" s="18"/>
      <c r="G700" s="18" t="s">
        <v>60</v>
      </c>
      <c r="H700" s="18" t="s">
        <v>1186</v>
      </c>
      <c r="I700" s="18" t="s">
        <v>4526</v>
      </c>
      <c r="J700" s="18" t="s">
        <v>4117</v>
      </c>
      <c r="K700" s="18" t="s">
        <v>1189</v>
      </c>
      <c r="L700" s="19">
        <v>58010</v>
      </c>
    </row>
    <row r="701" spans="1:12" ht="18" customHeight="1">
      <c r="A701" s="16" t="s">
        <v>4585</v>
      </c>
      <c r="B701" s="17"/>
      <c r="C701" s="18" t="s">
        <v>56</v>
      </c>
      <c r="D701" s="18" t="s">
        <v>4586</v>
      </c>
      <c r="E701" s="18" t="s">
        <v>4587</v>
      </c>
      <c r="F701" s="18"/>
      <c r="G701" s="18" t="s">
        <v>60</v>
      </c>
      <c r="H701" s="18" t="s">
        <v>351</v>
      </c>
      <c r="I701" s="18" t="s">
        <v>4526</v>
      </c>
      <c r="J701" s="18" t="s">
        <v>4271</v>
      </c>
      <c r="K701" s="18" t="s">
        <v>1047</v>
      </c>
      <c r="L701" s="19">
        <v>62050</v>
      </c>
    </row>
    <row r="702" spans="1:12" ht="18" customHeight="1">
      <c r="A702" s="16" t="s">
        <v>4588</v>
      </c>
      <c r="B702" s="17"/>
      <c r="C702" s="18" t="s">
        <v>56</v>
      </c>
      <c r="D702" s="18" t="s">
        <v>4589</v>
      </c>
      <c r="E702" s="18" t="s">
        <v>4590</v>
      </c>
      <c r="F702" s="18"/>
      <c r="G702" s="18" t="s">
        <v>60</v>
      </c>
      <c r="H702" s="18" t="s">
        <v>152</v>
      </c>
      <c r="I702" s="18" t="s">
        <v>4526</v>
      </c>
      <c r="J702" s="18" t="s">
        <v>4121</v>
      </c>
      <c r="K702" s="18" t="s">
        <v>155</v>
      </c>
      <c r="L702" s="19">
        <v>63000</v>
      </c>
    </row>
    <row r="703" spans="1:12" ht="18" customHeight="1">
      <c r="A703" s="16" t="s">
        <v>4591</v>
      </c>
      <c r="B703" s="17"/>
      <c r="C703" s="18" t="s">
        <v>56</v>
      </c>
      <c r="D703" s="18" t="s">
        <v>4592</v>
      </c>
      <c r="E703" s="18" t="s">
        <v>4593</v>
      </c>
      <c r="F703" s="18"/>
      <c r="G703" s="18" t="s">
        <v>60</v>
      </c>
      <c r="H703" s="18" t="s">
        <v>168</v>
      </c>
      <c r="I703" s="18" t="s">
        <v>4526</v>
      </c>
      <c r="J703" s="18" t="s">
        <v>1129</v>
      </c>
      <c r="K703" s="18" t="s">
        <v>168</v>
      </c>
      <c r="L703" s="19">
        <v>72140</v>
      </c>
    </row>
    <row r="704" spans="1:12" ht="18" customHeight="1">
      <c r="A704" s="16" t="s">
        <v>4594</v>
      </c>
      <c r="B704" s="17"/>
      <c r="C704" s="18" t="s">
        <v>56</v>
      </c>
      <c r="D704" s="18" t="s">
        <v>4595</v>
      </c>
      <c r="E704" s="18" t="s">
        <v>4596</v>
      </c>
      <c r="F704" s="18"/>
      <c r="G704" s="18" t="s">
        <v>60</v>
      </c>
      <c r="H704" s="18" t="s">
        <v>175</v>
      </c>
      <c r="I704" s="18" t="s">
        <v>4526</v>
      </c>
      <c r="J704" s="18" t="s">
        <v>4299</v>
      </c>
      <c r="K704" s="18" t="s">
        <v>175</v>
      </c>
      <c r="L704" s="19">
        <v>76030</v>
      </c>
    </row>
    <row r="705" spans="1:12" ht="18" customHeight="1">
      <c r="A705" s="16" t="s">
        <v>4597</v>
      </c>
      <c r="B705" s="17"/>
      <c r="C705" s="18" t="s">
        <v>56</v>
      </c>
      <c r="D705" s="18" t="s">
        <v>4598</v>
      </c>
      <c r="E705" s="18" t="s">
        <v>4599</v>
      </c>
      <c r="F705" s="18"/>
      <c r="G705" s="18" t="s">
        <v>60</v>
      </c>
      <c r="H705" s="18" t="s">
        <v>182</v>
      </c>
      <c r="I705" s="18" t="s">
        <v>4526</v>
      </c>
      <c r="J705" s="18" t="s">
        <v>4305</v>
      </c>
      <c r="K705" s="18" t="s">
        <v>185</v>
      </c>
      <c r="L705" s="19">
        <v>77000</v>
      </c>
    </row>
    <row r="706" spans="1:12" ht="18" customHeight="1">
      <c r="A706" s="16" t="s">
        <v>4600</v>
      </c>
      <c r="B706" s="17"/>
      <c r="C706" s="18" t="s">
        <v>56</v>
      </c>
      <c r="D706" s="18" t="s">
        <v>4601</v>
      </c>
      <c r="E706" s="18" t="s">
        <v>4602</v>
      </c>
      <c r="F706" s="18"/>
      <c r="G706" s="18" t="s">
        <v>60</v>
      </c>
      <c r="H706" s="18" t="s">
        <v>190</v>
      </c>
      <c r="I706" s="18" t="s">
        <v>4526</v>
      </c>
      <c r="J706" s="18" t="s">
        <v>4132</v>
      </c>
      <c r="K706" s="18" t="s">
        <v>190</v>
      </c>
      <c r="L706" s="19">
        <v>78233</v>
      </c>
    </row>
    <row r="707" spans="1:12" ht="18" customHeight="1">
      <c r="A707" s="16" t="s">
        <v>4603</v>
      </c>
      <c r="B707" s="17"/>
      <c r="C707" s="18" t="s">
        <v>56</v>
      </c>
      <c r="D707" s="18" t="s">
        <v>4604</v>
      </c>
      <c r="E707" s="18" t="s">
        <v>4605</v>
      </c>
      <c r="F707" s="18"/>
      <c r="G707" s="18" t="s">
        <v>60</v>
      </c>
      <c r="H707" s="18" t="s">
        <v>504</v>
      </c>
      <c r="I707" s="18" t="s">
        <v>4526</v>
      </c>
      <c r="J707" s="18" t="s">
        <v>4136</v>
      </c>
      <c r="K707" s="18" t="s">
        <v>894</v>
      </c>
      <c r="L707" s="19">
        <v>80020</v>
      </c>
    </row>
    <row r="708" spans="1:12" ht="18" customHeight="1">
      <c r="A708" s="16" t="s">
        <v>4606</v>
      </c>
      <c r="B708" s="17"/>
      <c r="C708" s="18" t="s">
        <v>56</v>
      </c>
      <c r="D708" s="18" t="s">
        <v>4607</v>
      </c>
      <c r="E708" s="18" t="s">
        <v>4608</v>
      </c>
      <c r="F708" s="18"/>
      <c r="G708" s="18" t="s">
        <v>60</v>
      </c>
      <c r="H708" s="18" t="s">
        <v>197</v>
      </c>
      <c r="I708" s="18" t="s">
        <v>4526</v>
      </c>
      <c r="J708" s="18" t="s">
        <v>4140</v>
      </c>
      <c r="K708" s="18" t="s">
        <v>200</v>
      </c>
      <c r="L708" s="19">
        <v>83280</v>
      </c>
    </row>
    <row r="709" spans="1:12" ht="18" customHeight="1">
      <c r="A709" s="16" t="s">
        <v>4609</v>
      </c>
      <c r="B709" s="17"/>
      <c r="C709" s="18" t="s">
        <v>56</v>
      </c>
      <c r="D709" s="18" t="s">
        <v>4610</v>
      </c>
      <c r="E709" s="18" t="s">
        <v>4611</v>
      </c>
      <c r="F709" s="18"/>
      <c r="G709" s="18" t="s">
        <v>60</v>
      </c>
      <c r="H709" s="18" t="s">
        <v>205</v>
      </c>
      <c r="I709" s="18" t="s">
        <v>4526</v>
      </c>
      <c r="J709" s="18" t="s">
        <v>2945</v>
      </c>
      <c r="K709" s="18" t="s">
        <v>208</v>
      </c>
      <c r="L709" s="19">
        <v>86000</v>
      </c>
    </row>
    <row r="710" spans="1:12" ht="18" customHeight="1">
      <c r="A710" s="16" t="s">
        <v>4612</v>
      </c>
      <c r="B710" s="17"/>
      <c r="C710" s="18" t="s">
        <v>56</v>
      </c>
      <c r="D710" s="18" t="s">
        <v>4613</v>
      </c>
      <c r="E710" s="18" t="s">
        <v>4614</v>
      </c>
      <c r="F710" s="18"/>
      <c r="G710" s="18" t="s">
        <v>60</v>
      </c>
      <c r="H710" s="18" t="s">
        <v>221</v>
      </c>
      <c r="I710" s="18" t="s">
        <v>4526</v>
      </c>
      <c r="J710" s="18" t="s">
        <v>1135</v>
      </c>
      <c r="K710" s="18" t="s">
        <v>221</v>
      </c>
      <c r="L710" s="19">
        <v>90300</v>
      </c>
    </row>
    <row r="711" spans="1:12" ht="18" customHeight="1">
      <c r="A711" s="16" t="s">
        <v>4615</v>
      </c>
      <c r="B711" s="17"/>
      <c r="C711" s="18" t="s">
        <v>56</v>
      </c>
      <c r="D711" s="18" t="s">
        <v>4616</v>
      </c>
      <c r="E711" s="18" t="s">
        <v>4617</v>
      </c>
      <c r="F711" s="18"/>
      <c r="G711" s="18" t="s">
        <v>60</v>
      </c>
      <c r="H711" s="18" t="s">
        <v>616</v>
      </c>
      <c r="I711" s="18" t="s">
        <v>4526</v>
      </c>
      <c r="J711" s="18" t="s">
        <v>2956</v>
      </c>
      <c r="K711" s="18" t="s">
        <v>1181</v>
      </c>
      <c r="L711" s="19">
        <v>91010</v>
      </c>
    </row>
    <row r="712" spans="1:12" ht="18" customHeight="1">
      <c r="A712" s="16" t="s">
        <v>4618</v>
      </c>
      <c r="B712" s="17"/>
      <c r="C712" s="18" t="s">
        <v>56</v>
      </c>
      <c r="D712" s="18" t="s">
        <v>4619</v>
      </c>
      <c r="E712" s="18" t="s">
        <v>4620</v>
      </c>
      <c r="F712" s="18"/>
      <c r="G712" s="18" t="s">
        <v>60</v>
      </c>
      <c r="H712" s="18" t="s">
        <v>144</v>
      </c>
      <c r="I712" s="18" t="s">
        <v>4526</v>
      </c>
      <c r="J712" s="18" t="s">
        <v>4349</v>
      </c>
      <c r="K712" s="18" t="s">
        <v>147</v>
      </c>
      <c r="L712" s="19">
        <v>97100</v>
      </c>
    </row>
    <row r="713" spans="1:12" ht="18" customHeight="1">
      <c r="A713" s="16" t="s">
        <v>4621</v>
      </c>
      <c r="B713" s="17"/>
      <c r="C713" s="18" t="s">
        <v>56</v>
      </c>
      <c r="D713" s="18" t="s">
        <v>4622</v>
      </c>
      <c r="E713" s="18" t="s">
        <v>4623</v>
      </c>
      <c r="F713" s="18"/>
      <c r="G713" s="18" t="s">
        <v>60</v>
      </c>
      <c r="H713" s="18" t="s">
        <v>228</v>
      </c>
      <c r="I713" s="18" t="s">
        <v>4526</v>
      </c>
      <c r="J713" s="18" t="s">
        <v>4066</v>
      </c>
      <c r="K713" s="18" t="s">
        <v>163</v>
      </c>
      <c r="L713" s="19">
        <v>98604</v>
      </c>
    </row>
    <row r="714" spans="1:12" ht="18" customHeight="1">
      <c r="A714" s="16" t="s">
        <v>4630</v>
      </c>
      <c r="B714" s="17"/>
      <c r="C714" s="18" t="s">
        <v>56</v>
      </c>
      <c r="D714" s="18" t="s">
        <v>4631</v>
      </c>
      <c r="E714" s="18" t="s">
        <v>4632</v>
      </c>
      <c r="F714" s="18"/>
      <c r="G714" s="18" t="s">
        <v>60</v>
      </c>
      <c r="H714" s="18" t="s">
        <v>61</v>
      </c>
      <c r="I714" s="18" t="s">
        <v>4628</v>
      </c>
      <c r="J714" s="18" t="s">
        <v>4070</v>
      </c>
      <c r="K714" s="18" t="s">
        <v>61</v>
      </c>
      <c r="L714" s="19">
        <v>20239</v>
      </c>
    </row>
    <row r="715" spans="1:12" ht="18" customHeight="1">
      <c r="A715" s="16" t="s">
        <v>4633</v>
      </c>
      <c r="B715" s="17"/>
      <c r="C715" s="18" t="s">
        <v>56</v>
      </c>
      <c r="D715" s="18" t="s">
        <v>4634</v>
      </c>
      <c r="E715" s="18" t="s">
        <v>4635</v>
      </c>
      <c r="F715" s="18"/>
      <c r="G715" s="18" t="s">
        <v>60</v>
      </c>
      <c r="H715" s="18" t="s">
        <v>76</v>
      </c>
      <c r="I715" s="18" t="s">
        <v>4628</v>
      </c>
      <c r="J715" s="18" t="s">
        <v>4074</v>
      </c>
      <c r="K715" s="18" t="s">
        <v>79</v>
      </c>
      <c r="L715" s="19">
        <v>23040</v>
      </c>
    </row>
    <row r="716" spans="1:12" ht="18" customHeight="1">
      <c r="A716" s="16" t="s">
        <v>4636</v>
      </c>
      <c r="B716" s="17"/>
      <c r="C716" s="18" t="s">
        <v>56</v>
      </c>
      <c r="D716" s="18" t="s">
        <v>4637</v>
      </c>
      <c r="E716" s="18" t="s">
        <v>4638</v>
      </c>
      <c r="F716" s="18"/>
      <c r="G716" s="18" t="s">
        <v>60</v>
      </c>
      <c r="H716" s="18" t="s">
        <v>68</v>
      </c>
      <c r="I716" s="18" t="s">
        <v>4628</v>
      </c>
      <c r="J716" s="18" t="s">
        <v>4078</v>
      </c>
      <c r="K716" s="18" t="s">
        <v>71</v>
      </c>
      <c r="L716" s="19">
        <v>21259</v>
      </c>
    </row>
    <row r="717" spans="1:12" ht="18" customHeight="1">
      <c r="A717" s="16" t="s">
        <v>4639</v>
      </c>
      <c r="B717" s="17"/>
      <c r="C717" s="18" t="s">
        <v>56</v>
      </c>
      <c r="D717" s="18" t="s">
        <v>4640</v>
      </c>
      <c r="E717" s="18" t="s">
        <v>4641</v>
      </c>
      <c r="F717" s="18"/>
      <c r="G717" s="18" t="s">
        <v>60</v>
      </c>
      <c r="H717" s="18" t="s">
        <v>84</v>
      </c>
      <c r="I717" s="18" t="s">
        <v>4628</v>
      </c>
      <c r="J717" s="18" t="s">
        <v>4082</v>
      </c>
      <c r="K717" s="18" t="s">
        <v>84</v>
      </c>
      <c r="L717" s="19">
        <v>24010</v>
      </c>
    </row>
    <row r="718" spans="1:12" ht="18" customHeight="1">
      <c r="A718" s="16" t="s">
        <v>4642</v>
      </c>
      <c r="B718" s="17"/>
      <c r="C718" s="18" t="s">
        <v>56</v>
      </c>
      <c r="D718" s="18" t="s">
        <v>4643</v>
      </c>
      <c r="E718" s="18" t="s">
        <v>4644</v>
      </c>
      <c r="F718" s="18"/>
      <c r="G718" s="18" t="s">
        <v>60</v>
      </c>
      <c r="H718" s="18" t="s">
        <v>91</v>
      </c>
      <c r="I718" s="18" t="s">
        <v>4628</v>
      </c>
      <c r="J718" s="18" t="s">
        <v>4086</v>
      </c>
      <c r="K718" s="18" t="s">
        <v>94</v>
      </c>
      <c r="L718" s="19">
        <v>29034</v>
      </c>
    </row>
    <row r="719" spans="1:12" ht="18" customHeight="1">
      <c r="A719" s="16" t="s">
        <v>4645</v>
      </c>
      <c r="B719" s="17"/>
      <c r="C719" s="18" t="s">
        <v>56</v>
      </c>
      <c r="D719" s="18" t="s">
        <v>4646</v>
      </c>
      <c r="E719" s="18" t="s">
        <v>4647</v>
      </c>
      <c r="F719" s="18"/>
      <c r="G719" s="18" t="s">
        <v>60</v>
      </c>
      <c r="H719" s="18" t="s">
        <v>99</v>
      </c>
      <c r="I719" s="18" t="s">
        <v>4628</v>
      </c>
      <c r="J719" s="18" t="s">
        <v>4090</v>
      </c>
      <c r="K719" s="18" t="s">
        <v>99</v>
      </c>
      <c r="L719" s="19">
        <v>31200</v>
      </c>
    </row>
    <row r="720" spans="1:12" ht="18" customHeight="1">
      <c r="A720" s="16" t="s">
        <v>4648</v>
      </c>
      <c r="B720" s="17"/>
      <c r="C720" s="18" t="s">
        <v>56</v>
      </c>
      <c r="D720" s="18" t="s">
        <v>4649</v>
      </c>
      <c r="E720" s="18" t="s">
        <v>4650</v>
      </c>
      <c r="F720" s="18"/>
      <c r="G720" s="18" t="s">
        <v>60</v>
      </c>
      <c r="H720" s="18" t="s">
        <v>106</v>
      </c>
      <c r="I720" s="18" t="s">
        <v>4628</v>
      </c>
      <c r="J720" s="18" t="s">
        <v>4094</v>
      </c>
      <c r="K720" s="18" t="s">
        <v>109</v>
      </c>
      <c r="L720" s="19">
        <v>25000</v>
      </c>
    </row>
    <row r="721" spans="1:12" ht="18" customHeight="1">
      <c r="A721" s="16" t="s">
        <v>4651</v>
      </c>
      <c r="B721" s="17"/>
      <c r="C721" s="18" t="s">
        <v>56</v>
      </c>
      <c r="D721" s="18" t="s">
        <v>4652</v>
      </c>
      <c r="E721" s="18" t="s">
        <v>4653</v>
      </c>
      <c r="F721" s="18"/>
      <c r="G721" s="18" t="s">
        <v>60</v>
      </c>
      <c r="H721" s="18" t="s">
        <v>114</v>
      </c>
      <c r="I721" s="18" t="s">
        <v>4628</v>
      </c>
      <c r="J721" s="18" t="s">
        <v>4098</v>
      </c>
      <c r="K721" s="18" t="s">
        <v>114</v>
      </c>
      <c r="L721" s="19">
        <v>28017</v>
      </c>
    </row>
    <row r="722" spans="1:12" ht="18" customHeight="1">
      <c r="A722" s="16" t="s">
        <v>4654</v>
      </c>
      <c r="B722" s="17"/>
      <c r="C722" s="18" t="s">
        <v>56</v>
      </c>
      <c r="D722" s="18" t="s">
        <v>4655</v>
      </c>
      <c r="E722" s="18" t="s">
        <v>4656</v>
      </c>
      <c r="F722" s="18"/>
      <c r="G722" s="18" t="s">
        <v>60</v>
      </c>
      <c r="H722" s="18" t="s">
        <v>121</v>
      </c>
      <c r="I722" s="18" t="s">
        <v>4628</v>
      </c>
      <c r="J722" s="18" t="s">
        <v>4102</v>
      </c>
      <c r="K722" s="18" t="s">
        <v>121</v>
      </c>
      <c r="L722" s="19">
        <v>34270</v>
      </c>
    </row>
    <row r="723" spans="1:12" ht="18" customHeight="1">
      <c r="A723" s="16" t="s">
        <v>4657</v>
      </c>
      <c r="B723" s="17"/>
      <c r="C723" s="18" t="s">
        <v>56</v>
      </c>
      <c r="D723" s="18" t="s">
        <v>4658</v>
      </c>
      <c r="E723" s="18" t="s">
        <v>4659</v>
      </c>
      <c r="F723" s="18"/>
      <c r="G723" s="18" t="s">
        <v>60</v>
      </c>
      <c r="H723" s="18" t="s">
        <v>294</v>
      </c>
      <c r="I723" s="18" t="s">
        <v>4628</v>
      </c>
      <c r="J723" s="18" t="s">
        <v>2786</v>
      </c>
      <c r="K723" s="18" t="s">
        <v>1162</v>
      </c>
      <c r="L723" s="19">
        <v>50071</v>
      </c>
    </row>
    <row r="724" spans="1:12" ht="18" customHeight="1">
      <c r="A724" s="16" t="s">
        <v>4660</v>
      </c>
      <c r="B724" s="17"/>
      <c r="C724" s="18" t="s">
        <v>56</v>
      </c>
      <c r="D724" s="18" t="s">
        <v>4661</v>
      </c>
      <c r="E724" s="18" t="s">
        <v>4662</v>
      </c>
      <c r="F724" s="18"/>
      <c r="G724" s="18" t="s">
        <v>60</v>
      </c>
      <c r="H724" s="18" t="s">
        <v>128</v>
      </c>
      <c r="I724" s="18" t="s">
        <v>4628</v>
      </c>
      <c r="J724" s="18" t="s">
        <v>310</v>
      </c>
      <c r="K724" s="18" t="s">
        <v>131</v>
      </c>
      <c r="L724" s="19">
        <v>38020</v>
      </c>
    </row>
    <row r="725" spans="1:12" ht="18" customHeight="1">
      <c r="A725" s="16" t="s">
        <v>4663</v>
      </c>
      <c r="B725" s="17"/>
      <c r="C725" s="18" t="s">
        <v>56</v>
      </c>
      <c r="D725" s="18" t="s">
        <v>4664</v>
      </c>
      <c r="E725" s="18" t="s">
        <v>4665</v>
      </c>
      <c r="F725" s="18"/>
      <c r="G725" s="18" t="s">
        <v>60</v>
      </c>
      <c r="H725" s="18" t="s">
        <v>136</v>
      </c>
      <c r="I725" s="18" t="s">
        <v>4628</v>
      </c>
      <c r="J725" s="18" t="s">
        <v>4106</v>
      </c>
      <c r="K725" s="18" t="s">
        <v>139</v>
      </c>
      <c r="L725" s="19">
        <v>39690</v>
      </c>
    </row>
    <row r="726" spans="1:12" ht="18" customHeight="1">
      <c r="A726" s="16" t="s">
        <v>4666</v>
      </c>
      <c r="B726" s="17"/>
      <c r="C726" s="18" t="s">
        <v>56</v>
      </c>
      <c r="D726" s="18" t="s">
        <v>4667</v>
      </c>
      <c r="E726" s="18" t="s">
        <v>4668</v>
      </c>
      <c r="F726" s="18"/>
      <c r="G726" s="18" t="s">
        <v>60</v>
      </c>
      <c r="H726" s="18" t="s">
        <v>583</v>
      </c>
      <c r="I726" s="18" t="s">
        <v>4628</v>
      </c>
      <c r="J726" s="18" t="s">
        <v>4110</v>
      </c>
      <c r="K726" s="18" t="s">
        <v>2664</v>
      </c>
      <c r="L726" s="19">
        <v>42080</v>
      </c>
    </row>
    <row r="727" spans="1:12" ht="18" customHeight="1">
      <c r="A727" s="16" t="s">
        <v>4669</v>
      </c>
      <c r="B727" s="17"/>
      <c r="C727" s="18" t="s">
        <v>56</v>
      </c>
      <c r="D727" s="18" t="s">
        <v>4670</v>
      </c>
      <c r="E727" s="18" t="s">
        <v>4671</v>
      </c>
      <c r="F727" s="18"/>
      <c r="G727" s="18" t="s">
        <v>60</v>
      </c>
      <c r="H727" s="18" t="s">
        <v>632</v>
      </c>
      <c r="I727" s="18" t="s">
        <v>4628</v>
      </c>
      <c r="J727" s="18" t="s">
        <v>1174</v>
      </c>
      <c r="K727" s="18" t="s">
        <v>915</v>
      </c>
      <c r="L727" s="19">
        <v>44270</v>
      </c>
    </row>
    <row r="728" spans="1:12" ht="18" customHeight="1">
      <c r="A728" s="16" t="s">
        <v>4672</v>
      </c>
      <c r="B728" s="17"/>
      <c r="C728" s="18" t="s">
        <v>56</v>
      </c>
      <c r="D728" s="18" t="s">
        <v>4673</v>
      </c>
      <c r="E728" s="18" t="s">
        <v>4674</v>
      </c>
      <c r="F728" s="18"/>
      <c r="G728" s="18" t="s">
        <v>60</v>
      </c>
      <c r="H728" s="18" t="s">
        <v>1186</v>
      </c>
      <c r="I728" s="18" t="s">
        <v>4628</v>
      </c>
      <c r="J728" s="18" t="s">
        <v>4117</v>
      </c>
      <c r="K728" s="18" t="s">
        <v>1189</v>
      </c>
      <c r="L728" s="19">
        <v>58010</v>
      </c>
    </row>
    <row r="729" spans="1:12" ht="18" customHeight="1">
      <c r="A729" s="16" t="s">
        <v>4675</v>
      </c>
      <c r="B729" s="17"/>
      <c r="C729" s="18" t="s">
        <v>56</v>
      </c>
      <c r="D729" s="18" t="s">
        <v>4676</v>
      </c>
      <c r="E729" s="18" t="s">
        <v>4677</v>
      </c>
      <c r="F729" s="18"/>
      <c r="G729" s="18" t="s">
        <v>60</v>
      </c>
      <c r="H729" s="18" t="s">
        <v>351</v>
      </c>
      <c r="I729" s="18" t="s">
        <v>4628</v>
      </c>
      <c r="J729" s="18" t="s">
        <v>4271</v>
      </c>
      <c r="K729" s="18" t="s">
        <v>1047</v>
      </c>
      <c r="L729" s="19">
        <v>62050</v>
      </c>
    </row>
    <row r="730" spans="1:12" ht="18" customHeight="1">
      <c r="A730" s="16" t="s">
        <v>4678</v>
      </c>
      <c r="B730" s="17"/>
      <c r="C730" s="18" t="s">
        <v>56</v>
      </c>
      <c r="D730" s="18" t="s">
        <v>4679</v>
      </c>
      <c r="E730" s="18" t="s">
        <v>4680</v>
      </c>
      <c r="F730" s="18"/>
      <c r="G730" s="18" t="s">
        <v>60</v>
      </c>
      <c r="H730" s="18" t="s">
        <v>152</v>
      </c>
      <c r="I730" s="18" t="s">
        <v>4628</v>
      </c>
      <c r="J730" s="18" t="s">
        <v>4121</v>
      </c>
      <c r="K730" s="18" t="s">
        <v>155</v>
      </c>
      <c r="L730" s="19">
        <v>63000</v>
      </c>
    </row>
    <row r="731" spans="1:12" ht="18" customHeight="1">
      <c r="A731" s="16" t="s">
        <v>4681</v>
      </c>
      <c r="B731" s="17"/>
      <c r="C731" s="18" t="s">
        <v>56</v>
      </c>
      <c r="D731" s="18" t="s">
        <v>4682</v>
      </c>
      <c r="E731" s="18" t="s">
        <v>4683</v>
      </c>
      <c r="F731" s="18"/>
      <c r="G731" s="18" t="s">
        <v>60</v>
      </c>
      <c r="H731" s="18" t="s">
        <v>160</v>
      </c>
      <c r="I731" s="18" t="s">
        <v>4628</v>
      </c>
      <c r="J731" s="18" t="s">
        <v>4125</v>
      </c>
      <c r="K731" s="18" t="s">
        <v>930</v>
      </c>
      <c r="L731" s="19">
        <v>64060</v>
      </c>
    </row>
    <row r="732" spans="1:12" ht="18" customHeight="1">
      <c r="A732" s="16" t="s">
        <v>4624</v>
      </c>
      <c r="B732" s="17" t="s">
        <v>4625</v>
      </c>
      <c r="C732" s="18" t="s">
        <v>56</v>
      </c>
      <c r="D732" s="18" t="s">
        <v>4626</v>
      </c>
      <c r="E732" s="18" t="s">
        <v>4627</v>
      </c>
      <c r="F732" s="18" t="s">
        <v>350</v>
      </c>
      <c r="G732" s="18" t="s">
        <v>60</v>
      </c>
      <c r="H732" s="18" t="s">
        <v>1153</v>
      </c>
      <c r="I732" s="18" t="s">
        <v>4628</v>
      </c>
      <c r="J732" s="18" t="s">
        <v>4629</v>
      </c>
      <c r="K732" s="18" t="s">
        <v>1153</v>
      </c>
      <c r="L732" s="19">
        <v>68120</v>
      </c>
    </row>
    <row r="733" spans="1:12" ht="18" customHeight="1">
      <c r="A733" s="16" t="s">
        <v>4684</v>
      </c>
      <c r="B733" s="17"/>
      <c r="C733" s="18" t="s">
        <v>56</v>
      </c>
      <c r="D733" s="18" t="s">
        <v>4685</v>
      </c>
      <c r="E733" s="18" t="s">
        <v>4686</v>
      </c>
      <c r="F733" s="18"/>
      <c r="G733" s="18" t="s">
        <v>60</v>
      </c>
      <c r="H733" s="18" t="s">
        <v>168</v>
      </c>
      <c r="I733" s="18" t="s">
        <v>4628</v>
      </c>
      <c r="J733" s="18" t="s">
        <v>1129</v>
      </c>
      <c r="K733" s="18" t="s">
        <v>168</v>
      </c>
      <c r="L733" s="19">
        <v>72140</v>
      </c>
    </row>
    <row r="734" spans="1:12" ht="18" customHeight="1">
      <c r="A734" s="16" t="s">
        <v>4687</v>
      </c>
      <c r="B734" s="17"/>
      <c r="C734" s="18" t="s">
        <v>56</v>
      </c>
      <c r="D734" s="18" t="s">
        <v>4688</v>
      </c>
      <c r="E734" s="18" t="s">
        <v>4689</v>
      </c>
      <c r="F734" s="18"/>
      <c r="G734" s="18" t="s">
        <v>60</v>
      </c>
      <c r="H734" s="18" t="s">
        <v>175</v>
      </c>
      <c r="I734" s="18" t="s">
        <v>4628</v>
      </c>
      <c r="J734" s="18" t="s">
        <v>4299</v>
      </c>
      <c r="K734" s="18" t="s">
        <v>175</v>
      </c>
      <c r="L734" s="19">
        <v>76030</v>
      </c>
    </row>
    <row r="735" spans="1:12" ht="18" customHeight="1">
      <c r="A735" s="16" t="s">
        <v>4690</v>
      </c>
      <c r="B735" s="17"/>
      <c r="C735" s="18" t="s">
        <v>56</v>
      </c>
      <c r="D735" s="18" t="s">
        <v>4691</v>
      </c>
      <c r="E735" s="18" t="s">
        <v>4692</v>
      </c>
      <c r="F735" s="18"/>
      <c r="G735" s="18" t="s">
        <v>60</v>
      </c>
      <c r="H735" s="18" t="s">
        <v>182</v>
      </c>
      <c r="I735" s="18" t="s">
        <v>4628</v>
      </c>
      <c r="J735" s="18" t="s">
        <v>4305</v>
      </c>
      <c r="K735" s="18" t="s">
        <v>185</v>
      </c>
      <c r="L735" s="19">
        <v>77000</v>
      </c>
    </row>
    <row r="736" spans="1:12" ht="18" customHeight="1">
      <c r="A736" s="16" t="s">
        <v>4693</v>
      </c>
      <c r="B736" s="17"/>
      <c r="C736" s="18" t="s">
        <v>56</v>
      </c>
      <c r="D736" s="18" t="s">
        <v>4694</v>
      </c>
      <c r="E736" s="18" t="s">
        <v>4695</v>
      </c>
      <c r="F736" s="18"/>
      <c r="G736" s="18" t="s">
        <v>60</v>
      </c>
      <c r="H736" s="18" t="s">
        <v>504</v>
      </c>
      <c r="I736" s="18" t="s">
        <v>4628</v>
      </c>
      <c r="J736" s="18" t="s">
        <v>4136</v>
      </c>
      <c r="K736" s="18" t="s">
        <v>894</v>
      </c>
      <c r="L736" s="19">
        <v>80020</v>
      </c>
    </row>
    <row r="737" spans="1:12" ht="18" customHeight="1">
      <c r="A737" s="16" t="s">
        <v>4696</v>
      </c>
      <c r="B737" s="17"/>
      <c r="C737" s="18" t="s">
        <v>56</v>
      </c>
      <c r="D737" s="18" t="s">
        <v>4697</v>
      </c>
      <c r="E737" s="18" t="s">
        <v>4698</v>
      </c>
      <c r="F737" s="18"/>
      <c r="G737" s="18" t="s">
        <v>60</v>
      </c>
      <c r="H737" s="18" t="s">
        <v>197</v>
      </c>
      <c r="I737" s="18" t="s">
        <v>4628</v>
      </c>
      <c r="J737" s="18" t="s">
        <v>4140</v>
      </c>
      <c r="K737" s="18" t="s">
        <v>200</v>
      </c>
      <c r="L737" s="19">
        <v>83280</v>
      </c>
    </row>
    <row r="738" spans="1:12" ht="18" customHeight="1">
      <c r="A738" s="16" t="s">
        <v>4699</v>
      </c>
      <c r="B738" s="17"/>
      <c r="C738" s="18" t="s">
        <v>56</v>
      </c>
      <c r="D738" s="18" t="s">
        <v>4700</v>
      </c>
      <c r="E738" s="18" t="s">
        <v>4701</v>
      </c>
      <c r="F738" s="18"/>
      <c r="G738" s="18" t="s">
        <v>60</v>
      </c>
      <c r="H738" s="18" t="s">
        <v>205</v>
      </c>
      <c r="I738" s="18" t="s">
        <v>4628</v>
      </c>
      <c r="J738" s="18" t="s">
        <v>2945</v>
      </c>
      <c r="K738" s="18" t="s">
        <v>208</v>
      </c>
      <c r="L738" s="19">
        <v>86000</v>
      </c>
    </row>
    <row r="739" spans="1:12" ht="18" customHeight="1">
      <c r="A739" s="16" t="s">
        <v>4702</v>
      </c>
      <c r="B739" s="17"/>
      <c r="C739" s="18" t="s">
        <v>56</v>
      </c>
      <c r="D739" s="18" t="s">
        <v>4703</v>
      </c>
      <c r="E739" s="18" t="s">
        <v>4704</v>
      </c>
      <c r="F739" s="18"/>
      <c r="G739" s="18" t="s">
        <v>60</v>
      </c>
      <c r="H739" s="18" t="s">
        <v>213</v>
      </c>
      <c r="I739" s="18" t="s">
        <v>4628</v>
      </c>
      <c r="J739" s="18" t="s">
        <v>4144</v>
      </c>
      <c r="K739" s="18" t="s">
        <v>216</v>
      </c>
      <c r="L739" s="19">
        <v>87000</v>
      </c>
    </row>
    <row r="740" spans="1:12" ht="18" customHeight="1">
      <c r="A740" s="16" t="s">
        <v>4705</v>
      </c>
      <c r="B740" s="17"/>
      <c r="C740" s="18" t="s">
        <v>56</v>
      </c>
      <c r="D740" s="18" t="s">
        <v>4706</v>
      </c>
      <c r="E740" s="18" t="s">
        <v>4707</v>
      </c>
      <c r="F740" s="18"/>
      <c r="G740" s="18" t="s">
        <v>60</v>
      </c>
      <c r="H740" s="18" t="s">
        <v>221</v>
      </c>
      <c r="I740" s="18" t="s">
        <v>4628</v>
      </c>
      <c r="J740" s="18" t="s">
        <v>1135</v>
      </c>
      <c r="K740" s="18" t="s">
        <v>221</v>
      </c>
      <c r="L740" s="19">
        <v>90300</v>
      </c>
    </row>
    <row r="741" spans="1:12" ht="18" customHeight="1">
      <c r="A741" s="16" t="s">
        <v>4708</v>
      </c>
      <c r="B741" s="17"/>
      <c r="C741" s="18" t="s">
        <v>56</v>
      </c>
      <c r="D741" s="18" t="s">
        <v>4709</v>
      </c>
      <c r="E741" s="18" t="s">
        <v>4710</v>
      </c>
      <c r="F741" s="18"/>
      <c r="G741" s="18" t="s">
        <v>60</v>
      </c>
      <c r="H741" s="18" t="s">
        <v>616</v>
      </c>
      <c r="I741" s="18" t="s">
        <v>4628</v>
      </c>
      <c r="J741" s="18" t="s">
        <v>2956</v>
      </c>
      <c r="K741" s="18" t="s">
        <v>1181</v>
      </c>
      <c r="L741" s="19">
        <v>91010</v>
      </c>
    </row>
    <row r="742" spans="1:12" ht="18" customHeight="1">
      <c r="A742" s="16" t="s">
        <v>4711</v>
      </c>
      <c r="B742" s="17"/>
      <c r="C742" s="18" t="s">
        <v>56</v>
      </c>
      <c r="D742" s="18" t="s">
        <v>4712</v>
      </c>
      <c r="E742" s="18" t="s">
        <v>4713</v>
      </c>
      <c r="F742" s="18"/>
      <c r="G742" s="18" t="s">
        <v>60</v>
      </c>
      <c r="H742" s="18" t="s">
        <v>144</v>
      </c>
      <c r="I742" s="18" t="s">
        <v>4628</v>
      </c>
      <c r="J742" s="18" t="s">
        <v>4349</v>
      </c>
      <c r="K742" s="18" t="s">
        <v>147</v>
      </c>
      <c r="L742" s="19">
        <v>97100</v>
      </c>
    </row>
    <row r="743" spans="1:12" ht="18" customHeight="1">
      <c r="A743" s="16" t="s">
        <v>4714</v>
      </c>
      <c r="B743" s="17"/>
      <c r="C743" s="18" t="s">
        <v>56</v>
      </c>
      <c r="D743" s="18" t="s">
        <v>4715</v>
      </c>
      <c r="E743" s="18" t="s">
        <v>4716</v>
      </c>
      <c r="F743" s="18"/>
      <c r="G743" s="18" t="s">
        <v>60</v>
      </c>
      <c r="H743" s="18" t="s">
        <v>228</v>
      </c>
      <c r="I743" s="18" t="s">
        <v>4628</v>
      </c>
      <c r="J743" s="18" t="s">
        <v>4066</v>
      </c>
      <c r="K743" s="18" t="s">
        <v>163</v>
      </c>
      <c r="L743" s="19">
        <v>98604</v>
      </c>
    </row>
    <row r="744" spans="1:12" ht="18" customHeight="1">
      <c r="A744" s="16" t="s">
        <v>4717</v>
      </c>
      <c r="B744" s="17"/>
      <c r="C744" s="18" t="s">
        <v>56</v>
      </c>
      <c r="D744" s="18" t="s">
        <v>4718</v>
      </c>
      <c r="E744" s="18" t="s">
        <v>4719</v>
      </c>
      <c r="F744" s="18"/>
      <c r="G744" s="18" t="s">
        <v>60</v>
      </c>
      <c r="H744" s="18" t="s">
        <v>253</v>
      </c>
      <c r="I744" s="18" t="s">
        <v>4720</v>
      </c>
      <c r="J744" s="18" t="s">
        <v>4155</v>
      </c>
      <c r="K744" s="18" t="s">
        <v>281</v>
      </c>
      <c r="L744" s="19">
        <v>6600</v>
      </c>
    </row>
    <row r="745" spans="1:12" ht="18" customHeight="1">
      <c r="A745" s="16" t="s">
        <v>4721</v>
      </c>
      <c r="B745" s="17"/>
      <c r="C745" s="18" t="s">
        <v>56</v>
      </c>
      <c r="D745" s="18" t="s">
        <v>4722</v>
      </c>
      <c r="E745" s="18" t="s">
        <v>4723</v>
      </c>
      <c r="F745" s="18"/>
      <c r="G745" s="18" t="s">
        <v>60</v>
      </c>
      <c r="H745" s="18" t="s">
        <v>253</v>
      </c>
      <c r="I745" s="18" t="s">
        <v>4724</v>
      </c>
      <c r="J745" s="18" t="s">
        <v>3769</v>
      </c>
      <c r="K745" s="18" t="s">
        <v>1277</v>
      </c>
      <c r="L745" s="19" t="s">
        <v>1278</v>
      </c>
    </row>
    <row r="746" spans="1:12" ht="18" customHeight="1">
      <c r="A746" s="16" t="s">
        <v>4725</v>
      </c>
      <c r="B746" s="17"/>
      <c r="C746" s="18" t="s">
        <v>56</v>
      </c>
      <c r="D746" s="18" t="s">
        <v>4726</v>
      </c>
      <c r="E746" s="18" t="s">
        <v>4727</v>
      </c>
      <c r="F746" s="18"/>
      <c r="G746" s="18" t="s">
        <v>60</v>
      </c>
      <c r="H746" s="18" t="s">
        <v>253</v>
      </c>
      <c r="I746" s="18" t="s">
        <v>4728</v>
      </c>
      <c r="J746" s="18" t="s">
        <v>4164</v>
      </c>
      <c r="K746" s="18" t="s">
        <v>1060</v>
      </c>
      <c r="L746" s="19">
        <v>11850</v>
      </c>
    </row>
    <row r="747" spans="1:12" ht="18" customHeight="1">
      <c r="A747" s="16" t="s">
        <v>4729</v>
      </c>
      <c r="B747" s="17"/>
      <c r="C747" s="18" t="s">
        <v>56</v>
      </c>
      <c r="D747" s="18" t="s">
        <v>4730</v>
      </c>
      <c r="E747" s="18" t="s">
        <v>4731</v>
      </c>
      <c r="F747" s="18"/>
      <c r="G747" s="18" t="s">
        <v>60</v>
      </c>
      <c r="H747" s="18" t="s">
        <v>253</v>
      </c>
      <c r="I747" s="18" t="s">
        <v>4732</v>
      </c>
      <c r="J747" s="18" t="s">
        <v>1118</v>
      </c>
      <c r="K747" s="18" t="s">
        <v>1028</v>
      </c>
      <c r="L747" s="19">
        <v>14070</v>
      </c>
    </row>
    <row r="748" spans="1:12" ht="18" customHeight="1">
      <c r="A748" s="16" t="s">
        <v>4733</v>
      </c>
      <c r="B748" s="17" t="s">
        <v>2736</v>
      </c>
      <c r="C748" s="18" t="s">
        <v>56</v>
      </c>
      <c r="D748" s="18" t="s">
        <v>4734</v>
      </c>
      <c r="E748" s="18" t="s">
        <v>4735</v>
      </c>
      <c r="F748" s="18" t="s">
        <v>350</v>
      </c>
      <c r="G748" s="18" t="s">
        <v>60</v>
      </c>
      <c r="H748" s="18" t="s">
        <v>253</v>
      </c>
      <c r="I748" s="18" t="s">
        <v>4736</v>
      </c>
      <c r="J748" s="18" t="s">
        <v>2740</v>
      </c>
      <c r="K748" s="18" t="s">
        <v>1028</v>
      </c>
      <c r="L748" s="19">
        <v>14070</v>
      </c>
    </row>
    <row r="749" spans="1:12" ht="18" customHeight="1">
      <c r="A749" s="16" t="s">
        <v>4737</v>
      </c>
      <c r="B749" s="17" t="s">
        <v>2754</v>
      </c>
      <c r="C749" s="18" t="s">
        <v>56</v>
      </c>
      <c r="D749" s="18" t="s">
        <v>4738</v>
      </c>
      <c r="E749" s="18" t="s">
        <v>4739</v>
      </c>
      <c r="F749" s="18" t="s">
        <v>350</v>
      </c>
      <c r="G749" s="18" t="s">
        <v>60</v>
      </c>
      <c r="H749" s="18" t="s">
        <v>253</v>
      </c>
      <c r="I749" s="18" t="s">
        <v>4740</v>
      </c>
      <c r="J749" s="18" t="s">
        <v>4741</v>
      </c>
      <c r="K749" s="18" t="s">
        <v>281</v>
      </c>
      <c r="L749" s="19" t="s">
        <v>372</v>
      </c>
    </row>
    <row r="750" spans="1:12" ht="18" customHeight="1">
      <c r="A750" s="16" t="s">
        <v>4742</v>
      </c>
      <c r="B750" s="17" t="s">
        <v>2843</v>
      </c>
      <c r="C750" s="18" t="s">
        <v>56</v>
      </c>
      <c r="D750" s="18" t="s">
        <v>4743</v>
      </c>
      <c r="E750" s="18" t="s">
        <v>4744</v>
      </c>
      <c r="F750" s="18" t="s">
        <v>350</v>
      </c>
      <c r="G750" s="18" t="s">
        <v>60</v>
      </c>
      <c r="H750" s="18" t="s">
        <v>253</v>
      </c>
      <c r="I750" s="18" t="s">
        <v>4745</v>
      </c>
      <c r="J750" s="18" t="s">
        <v>4746</v>
      </c>
      <c r="K750" s="18" t="s">
        <v>281</v>
      </c>
      <c r="L750" s="19" t="s">
        <v>372</v>
      </c>
    </row>
    <row r="751" spans="1:12" ht="18" customHeight="1">
      <c r="A751" s="16" t="s">
        <v>4747</v>
      </c>
      <c r="B751" s="17" t="s">
        <v>2736</v>
      </c>
      <c r="C751" s="18" t="s">
        <v>56</v>
      </c>
      <c r="D751" s="18" t="s">
        <v>4748</v>
      </c>
      <c r="E751" s="18" t="s">
        <v>4749</v>
      </c>
      <c r="F751" s="18" t="s">
        <v>350</v>
      </c>
      <c r="G751" s="18" t="s">
        <v>60</v>
      </c>
      <c r="H751" s="18" t="s">
        <v>253</v>
      </c>
      <c r="I751" s="18" t="s">
        <v>4750</v>
      </c>
      <c r="J751" s="18" t="s">
        <v>2740</v>
      </c>
      <c r="K751" s="18" t="s">
        <v>1028</v>
      </c>
      <c r="L751" s="19">
        <v>14070</v>
      </c>
    </row>
    <row r="752" spans="1:12" ht="18" customHeight="1">
      <c r="A752" s="16" t="s">
        <v>4751</v>
      </c>
      <c r="B752" s="17" t="s">
        <v>2843</v>
      </c>
      <c r="C752" s="18" t="s">
        <v>56</v>
      </c>
      <c r="D752" s="18" t="s">
        <v>4752</v>
      </c>
      <c r="E752" s="18" t="s">
        <v>4753</v>
      </c>
      <c r="F752" s="18" t="s">
        <v>350</v>
      </c>
      <c r="G752" s="18" t="s">
        <v>60</v>
      </c>
      <c r="H752" s="18" t="s">
        <v>253</v>
      </c>
      <c r="I752" s="18" t="s">
        <v>4754</v>
      </c>
      <c r="J752" s="18" t="s">
        <v>2751</v>
      </c>
      <c r="K752" s="18" t="s">
        <v>281</v>
      </c>
      <c r="L752" s="19" t="s">
        <v>2752</v>
      </c>
    </row>
    <row r="753" spans="1:12" ht="18" customHeight="1">
      <c r="A753" s="16" t="s">
        <v>4755</v>
      </c>
      <c r="B753" s="17" t="s">
        <v>2754</v>
      </c>
      <c r="C753" s="18" t="s">
        <v>56</v>
      </c>
      <c r="D753" s="18" t="s">
        <v>4756</v>
      </c>
      <c r="E753" s="18" t="s">
        <v>4757</v>
      </c>
      <c r="F753" s="18" t="s">
        <v>350</v>
      </c>
      <c r="G753" s="18" t="s">
        <v>60</v>
      </c>
      <c r="H753" s="18" t="s">
        <v>253</v>
      </c>
      <c r="I753" s="18" t="s">
        <v>4758</v>
      </c>
      <c r="J753" s="18" t="s">
        <v>4759</v>
      </c>
      <c r="K753" s="18" t="s">
        <v>281</v>
      </c>
      <c r="L753" s="19" t="s">
        <v>372</v>
      </c>
    </row>
    <row r="754" spans="1:12" ht="18" customHeight="1">
      <c r="A754" s="16" t="s">
        <v>4760</v>
      </c>
      <c r="B754" s="17" t="s">
        <v>4761</v>
      </c>
      <c r="C754" s="18" t="s">
        <v>56</v>
      </c>
      <c r="D754" s="18" t="s">
        <v>4762</v>
      </c>
      <c r="E754" s="18" t="s">
        <v>4763</v>
      </c>
      <c r="F754" s="18" t="s">
        <v>350</v>
      </c>
      <c r="G754" s="18" t="s">
        <v>60</v>
      </c>
      <c r="H754" s="18" t="s">
        <v>253</v>
      </c>
      <c r="I754" s="18" t="s">
        <v>4764</v>
      </c>
      <c r="J754" s="18" t="s">
        <v>4765</v>
      </c>
      <c r="K754" s="18" t="s">
        <v>281</v>
      </c>
      <c r="L754" s="19" t="s">
        <v>4766</v>
      </c>
    </row>
    <row r="755" spans="1:12" ht="18" customHeight="1">
      <c r="A755" s="16" t="s">
        <v>4767</v>
      </c>
      <c r="B755" s="17" t="s">
        <v>2736</v>
      </c>
      <c r="C755" s="18" t="s">
        <v>56</v>
      </c>
      <c r="D755" s="18" t="s">
        <v>4768</v>
      </c>
      <c r="E755" s="18" t="s">
        <v>4769</v>
      </c>
      <c r="F755" s="18" t="s">
        <v>350</v>
      </c>
      <c r="G755" s="18" t="s">
        <v>60</v>
      </c>
      <c r="H755" s="18" t="s">
        <v>253</v>
      </c>
      <c r="I755" s="18" t="s">
        <v>4770</v>
      </c>
      <c r="J755" s="18" t="s">
        <v>2740</v>
      </c>
      <c r="K755" s="18" t="s">
        <v>1028</v>
      </c>
      <c r="L755" s="19">
        <v>14070</v>
      </c>
    </row>
    <row r="756" spans="1:12" ht="18" customHeight="1">
      <c r="A756" s="16" t="s">
        <v>4771</v>
      </c>
      <c r="B756" s="17" t="s">
        <v>4772</v>
      </c>
      <c r="C756" s="18" t="s">
        <v>56</v>
      </c>
      <c r="D756" s="18" t="s">
        <v>4773</v>
      </c>
      <c r="E756" s="18" t="s">
        <v>4774</v>
      </c>
      <c r="F756" s="18" t="s">
        <v>350</v>
      </c>
      <c r="G756" s="18" t="s">
        <v>60</v>
      </c>
      <c r="H756" s="18" t="s">
        <v>253</v>
      </c>
      <c r="I756" s="18" t="s">
        <v>4775</v>
      </c>
      <c r="J756" s="18" t="s">
        <v>10517</v>
      </c>
      <c r="K756" s="18" t="s">
        <v>1226</v>
      </c>
      <c r="L756" s="19">
        <v>1030</v>
      </c>
    </row>
    <row r="757" spans="1:12" ht="18" customHeight="1" thickBot="1">
      <c r="A757" s="16" t="s">
        <v>4776</v>
      </c>
      <c r="B757" s="17"/>
      <c r="C757" s="18" t="s">
        <v>56</v>
      </c>
      <c r="D757" s="18"/>
      <c r="E757" s="18" t="s">
        <v>4777</v>
      </c>
      <c r="F757" s="18"/>
      <c r="G757" s="18" t="s">
        <v>60</v>
      </c>
      <c r="H757" s="18" t="s">
        <v>253</v>
      </c>
      <c r="I757" s="18" t="s">
        <v>4778</v>
      </c>
      <c r="J757" s="57" t="s">
        <v>10516</v>
      </c>
      <c r="K757" s="18"/>
      <c r="L757" s="19"/>
    </row>
    <row r="758" spans="1:12" ht="18" customHeight="1">
      <c r="A758" s="16" t="s">
        <v>4779</v>
      </c>
      <c r="B758" s="17"/>
      <c r="C758" s="18" t="s">
        <v>56</v>
      </c>
      <c r="D758" s="18"/>
      <c r="E758" s="18" t="s">
        <v>4780</v>
      </c>
      <c r="F758" s="18"/>
      <c r="G758" s="18" t="s">
        <v>60</v>
      </c>
      <c r="H758" s="18" t="s">
        <v>253</v>
      </c>
      <c r="I758" s="18" t="s">
        <v>4781</v>
      </c>
      <c r="J758" s="18"/>
      <c r="K758" s="18"/>
      <c r="L758" s="19"/>
    </row>
    <row r="759" spans="1:12" ht="18" customHeight="1">
      <c r="A759" s="16" t="s">
        <v>4782</v>
      </c>
      <c r="B759" s="17" t="s">
        <v>2736</v>
      </c>
      <c r="C759" s="18" t="s">
        <v>56</v>
      </c>
      <c r="D759" s="18" t="s">
        <v>4783</v>
      </c>
      <c r="E759" s="18" t="s">
        <v>4784</v>
      </c>
      <c r="F759" s="18" t="s">
        <v>350</v>
      </c>
      <c r="G759" s="18" t="s">
        <v>60</v>
      </c>
      <c r="H759" s="18" t="s">
        <v>253</v>
      </c>
      <c r="I759" s="18" t="s">
        <v>4785</v>
      </c>
      <c r="J759" s="18" t="s">
        <v>2740</v>
      </c>
      <c r="K759" s="18" t="s">
        <v>1028</v>
      </c>
      <c r="L759" s="19">
        <v>14070</v>
      </c>
    </row>
    <row r="760" spans="1:12" ht="18" customHeight="1">
      <c r="A760" s="16" t="s">
        <v>4786</v>
      </c>
      <c r="B760" s="17" t="s">
        <v>2754</v>
      </c>
      <c r="C760" s="18" t="s">
        <v>56</v>
      </c>
      <c r="D760" s="18" t="s">
        <v>4787</v>
      </c>
      <c r="E760" s="18" t="s">
        <v>4788</v>
      </c>
      <c r="F760" s="18" t="s">
        <v>350</v>
      </c>
      <c r="G760" s="18" t="s">
        <v>60</v>
      </c>
      <c r="H760" s="18" t="s">
        <v>253</v>
      </c>
      <c r="I760" s="18" t="s">
        <v>4789</v>
      </c>
      <c r="J760" s="18" t="s">
        <v>371</v>
      </c>
      <c r="K760" s="18" t="s">
        <v>281</v>
      </c>
      <c r="L760" s="19" t="s">
        <v>372</v>
      </c>
    </row>
    <row r="761" spans="1:12" ht="18" customHeight="1">
      <c r="A761" s="16" t="s">
        <v>4790</v>
      </c>
      <c r="B761" s="17" t="s">
        <v>2843</v>
      </c>
      <c r="C761" s="18" t="s">
        <v>56</v>
      </c>
      <c r="D761" s="18" t="s">
        <v>4791</v>
      </c>
      <c r="E761" s="18" t="s">
        <v>4792</v>
      </c>
      <c r="F761" s="18" t="s">
        <v>350</v>
      </c>
      <c r="G761" s="18" t="s">
        <v>60</v>
      </c>
      <c r="H761" s="18" t="s">
        <v>253</v>
      </c>
      <c r="I761" s="18" t="s">
        <v>4793</v>
      </c>
      <c r="J761" s="18" t="s">
        <v>2751</v>
      </c>
      <c r="K761" s="18" t="s">
        <v>281</v>
      </c>
      <c r="L761" s="19" t="s">
        <v>2752</v>
      </c>
    </row>
    <row r="762" spans="1:12" ht="18" customHeight="1">
      <c r="A762" s="16" t="s">
        <v>4794</v>
      </c>
      <c r="B762" s="17" t="s">
        <v>2754</v>
      </c>
      <c r="C762" s="18" t="s">
        <v>56</v>
      </c>
      <c r="D762" s="18" t="s">
        <v>350</v>
      </c>
      <c r="E762" s="18" t="s">
        <v>4795</v>
      </c>
      <c r="F762" s="18" t="s">
        <v>350</v>
      </c>
      <c r="G762" s="18" t="s">
        <v>60</v>
      </c>
      <c r="H762" s="18" t="s">
        <v>253</v>
      </c>
      <c r="I762" s="18" t="s">
        <v>4796</v>
      </c>
      <c r="J762" s="18" t="s">
        <v>371</v>
      </c>
      <c r="K762" s="18" t="s">
        <v>281</v>
      </c>
      <c r="L762" s="19" t="s">
        <v>372</v>
      </c>
    </row>
    <row r="763" spans="1:12" ht="18" customHeight="1">
      <c r="A763" s="16" t="s">
        <v>4797</v>
      </c>
      <c r="B763" s="17" t="s">
        <v>2754</v>
      </c>
      <c r="C763" s="18" t="s">
        <v>56</v>
      </c>
      <c r="D763" s="18" t="s">
        <v>350</v>
      </c>
      <c r="E763" s="18" t="s">
        <v>4798</v>
      </c>
      <c r="F763" s="18" t="s">
        <v>350</v>
      </c>
      <c r="G763" s="18" t="s">
        <v>60</v>
      </c>
      <c r="H763" s="18" t="s">
        <v>253</v>
      </c>
      <c r="I763" s="18" t="s">
        <v>4799</v>
      </c>
      <c r="J763" s="18" t="s">
        <v>371</v>
      </c>
      <c r="K763" s="18" t="s">
        <v>281</v>
      </c>
      <c r="L763" s="19" t="s">
        <v>372</v>
      </c>
    </row>
    <row r="764" spans="1:12" ht="18" customHeight="1">
      <c r="A764" s="16" t="s">
        <v>4800</v>
      </c>
      <c r="B764" s="17" t="s">
        <v>2754</v>
      </c>
      <c r="C764" s="18" t="s">
        <v>56</v>
      </c>
      <c r="D764" s="18" t="s">
        <v>4801</v>
      </c>
      <c r="E764" s="18" t="s">
        <v>4802</v>
      </c>
      <c r="F764" s="18" t="s">
        <v>350</v>
      </c>
      <c r="G764" s="18" t="s">
        <v>60</v>
      </c>
      <c r="H764" s="18" t="s">
        <v>253</v>
      </c>
      <c r="I764" s="18" t="s">
        <v>4803</v>
      </c>
      <c r="J764" s="18" t="s">
        <v>4804</v>
      </c>
      <c r="K764" s="18" t="s">
        <v>281</v>
      </c>
      <c r="L764" s="19" t="s">
        <v>372</v>
      </c>
    </row>
    <row r="765" spans="1:12" ht="18" customHeight="1">
      <c r="A765" s="16" t="s">
        <v>4805</v>
      </c>
      <c r="B765" s="17" t="s">
        <v>2754</v>
      </c>
      <c r="C765" s="18" t="s">
        <v>56</v>
      </c>
      <c r="D765" s="18" t="s">
        <v>4806</v>
      </c>
      <c r="E765" s="18" t="s">
        <v>4807</v>
      </c>
      <c r="F765" s="18" t="s">
        <v>350</v>
      </c>
      <c r="G765" s="18" t="s">
        <v>60</v>
      </c>
      <c r="H765" s="18" t="s">
        <v>253</v>
      </c>
      <c r="I765" s="18" t="s">
        <v>4808</v>
      </c>
      <c r="J765" s="18" t="s">
        <v>4809</v>
      </c>
      <c r="K765" s="18" t="s">
        <v>281</v>
      </c>
      <c r="L765" s="19" t="s">
        <v>372</v>
      </c>
    </row>
    <row r="766" spans="1:12" ht="18" customHeight="1">
      <c r="A766" s="16" t="s">
        <v>4810</v>
      </c>
      <c r="B766" s="17" t="s">
        <v>2736</v>
      </c>
      <c r="C766" s="18" t="s">
        <v>56</v>
      </c>
      <c r="D766" s="18" t="s">
        <v>4811</v>
      </c>
      <c r="E766" s="18" t="s">
        <v>4812</v>
      </c>
      <c r="F766" s="18" t="s">
        <v>350</v>
      </c>
      <c r="G766" s="18" t="s">
        <v>60</v>
      </c>
      <c r="H766" s="18" t="s">
        <v>253</v>
      </c>
      <c r="I766" s="18" t="s">
        <v>4813</v>
      </c>
      <c r="J766" s="18" t="s">
        <v>2740</v>
      </c>
      <c r="K766" s="18" t="s">
        <v>1028</v>
      </c>
      <c r="L766" s="19">
        <v>14070</v>
      </c>
    </row>
    <row r="767" spans="1:12" ht="18" customHeight="1">
      <c r="A767" s="16" t="s">
        <v>4814</v>
      </c>
      <c r="B767" s="17"/>
      <c r="C767" s="18" t="s">
        <v>56</v>
      </c>
      <c r="D767" s="18"/>
      <c r="E767" s="18" t="s">
        <v>4815</v>
      </c>
      <c r="F767" s="18"/>
      <c r="G767" s="18" t="s">
        <v>60</v>
      </c>
      <c r="H767" s="18" t="s">
        <v>253</v>
      </c>
      <c r="I767" s="18" t="s">
        <v>4816</v>
      </c>
      <c r="J767" s="18"/>
      <c r="K767" s="18"/>
      <c r="L767" s="19"/>
    </row>
    <row r="768" spans="1:12" ht="18" customHeight="1">
      <c r="A768" s="16" t="s">
        <v>4817</v>
      </c>
      <c r="B768" s="17" t="s">
        <v>2754</v>
      </c>
      <c r="C768" s="18" t="s">
        <v>56</v>
      </c>
      <c r="D768" s="18" t="s">
        <v>4818</v>
      </c>
      <c r="E768" s="18" t="s">
        <v>4819</v>
      </c>
      <c r="F768" s="18" t="s">
        <v>350</v>
      </c>
      <c r="G768" s="18" t="s">
        <v>60</v>
      </c>
      <c r="H768" s="18" t="s">
        <v>253</v>
      </c>
      <c r="I768" s="18" t="s">
        <v>4820</v>
      </c>
      <c r="J768" s="18" t="s">
        <v>4821</v>
      </c>
      <c r="K768" s="18" t="s">
        <v>281</v>
      </c>
      <c r="L768" s="19" t="s">
        <v>372</v>
      </c>
    </row>
    <row r="769" spans="1:12" ht="18" customHeight="1">
      <c r="A769" s="16" t="s">
        <v>4822</v>
      </c>
      <c r="B769" s="17" t="s">
        <v>2754</v>
      </c>
      <c r="C769" s="18" t="s">
        <v>56</v>
      </c>
      <c r="D769" s="18" t="s">
        <v>4823</v>
      </c>
      <c r="E769" s="18" t="s">
        <v>4824</v>
      </c>
      <c r="F769" s="18" t="s">
        <v>350</v>
      </c>
      <c r="G769" s="18" t="s">
        <v>60</v>
      </c>
      <c r="H769" s="18" t="s">
        <v>253</v>
      </c>
      <c r="I769" s="18" t="s">
        <v>4825</v>
      </c>
      <c r="J769" s="18" t="s">
        <v>4826</v>
      </c>
      <c r="K769" s="18" t="s">
        <v>281</v>
      </c>
      <c r="L769" s="19" t="s">
        <v>372</v>
      </c>
    </row>
    <row r="770" spans="1:12" ht="18" customHeight="1">
      <c r="A770" s="16" t="s">
        <v>4827</v>
      </c>
      <c r="B770" s="17" t="s">
        <v>4772</v>
      </c>
      <c r="C770" s="18" t="s">
        <v>56</v>
      </c>
      <c r="D770" s="18" t="s">
        <v>4828</v>
      </c>
      <c r="E770" s="18" t="s">
        <v>4829</v>
      </c>
      <c r="F770" s="18" t="s">
        <v>350</v>
      </c>
      <c r="G770" s="18" t="s">
        <v>60</v>
      </c>
      <c r="H770" s="18" t="s">
        <v>253</v>
      </c>
      <c r="I770" s="18" t="s">
        <v>4830</v>
      </c>
      <c r="J770" s="18" t="s">
        <v>10517</v>
      </c>
      <c r="K770" s="18" t="s">
        <v>1226</v>
      </c>
      <c r="L770" s="19">
        <v>1030</v>
      </c>
    </row>
    <row r="771" spans="1:12" ht="18" customHeight="1">
      <c r="A771" s="16" t="s">
        <v>4831</v>
      </c>
      <c r="B771" s="17"/>
      <c r="C771" s="18" t="s">
        <v>56</v>
      </c>
      <c r="D771" s="18"/>
      <c r="E771" s="18" t="s">
        <v>4832</v>
      </c>
      <c r="F771" s="18"/>
      <c r="G771" s="18" t="s">
        <v>60</v>
      </c>
      <c r="H771" s="18" t="s">
        <v>253</v>
      </c>
      <c r="I771" s="18" t="s">
        <v>4833</v>
      </c>
      <c r="J771" s="18"/>
      <c r="K771" s="18"/>
      <c r="L771" s="19"/>
    </row>
    <row r="772" spans="1:12" ht="18" customHeight="1">
      <c r="A772" s="16" t="s">
        <v>4834</v>
      </c>
      <c r="B772" s="17" t="s">
        <v>2736</v>
      </c>
      <c r="C772" s="18" t="s">
        <v>56</v>
      </c>
      <c r="D772" s="18" t="s">
        <v>4835</v>
      </c>
      <c r="E772" s="18" t="s">
        <v>4836</v>
      </c>
      <c r="F772" s="18" t="s">
        <v>350</v>
      </c>
      <c r="G772" s="18" t="s">
        <v>60</v>
      </c>
      <c r="H772" s="18" t="s">
        <v>253</v>
      </c>
      <c r="I772" s="18" t="s">
        <v>4837</v>
      </c>
      <c r="J772" s="18" t="s">
        <v>4838</v>
      </c>
      <c r="K772" s="18" t="s">
        <v>1028</v>
      </c>
      <c r="L772" s="19">
        <v>14070</v>
      </c>
    </row>
    <row r="773" spans="1:12" ht="18" customHeight="1">
      <c r="A773" s="16" t="s">
        <v>4839</v>
      </c>
      <c r="B773" s="17" t="s">
        <v>350</v>
      </c>
      <c r="C773" s="18" t="s">
        <v>56</v>
      </c>
      <c r="D773" s="18" t="s">
        <v>4840</v>
      </c>
      <c r="E773" s="18" t="s">
        <v>4841</v>
      </c>
      <c r="F773" s="18" t="s">
        <v>350</v>
      </c>
      <c r="G773" s="18" t="s">
        <v>60</v>
      </c>
      <c r="H773" s="18" t="s">
        <v>253</v>
      </c>
      <c r="I773" s="18" t="s">
        <v>4842</v>
      </c>
      <c r="J773" s="18" t="s">
        <v>2740</v>
      </c>
      <c r="K773" s="18" t="s">
        <v>1028</v>
      </c>
      <c r="L773" s="19">
        <v>14070</v>
      </c>
    </row>
    <row r="774" spans="1:12" ht="18" customHeight="1">
      <c r="A774" s="16" t="s">
        <v>4843</v>
      </c>
      <c r="B774" s="17" t="s">
        <v>2736</v>
      </c>
      <c r="C774" s="18" t="s">
        <v>56</v>
      </c>
      <c r="D774" s="18" t="s">
        <v>4844</v>
      </c>
      <c r="E774" s="18" t="s">
        <v>4845</v>
      </c>
      <c r="F774" s="18" t="s">
        <v>350</v>
      </c>
      <c r="G774" s="18" t="s">
        <v>60</v>
      </c>
      <c r="H774" s="18" t="s">
        <v>253</v>
      </c>
      <c r="I774" s="18" t="s">
        <v>4846</v>
      </c>
      <c r="J774" s="18" t="s">
        <v>2740</v>
      </c>
      <c r="K774" s="18" t="s">
        <v>1028</v>
      </c>
      <c r="L774" s="19">
        <v>14070</v>
      </c>
    </row>
    <row r="775" spans="1:12" ht="18" customHeight="1">
      <c r="A775" s="16" t="s">
        <v>4847</v>
      </c>
      <c r="B775" s="17" t="s">
        <v>2736</v>
      </c>
      <c r="C775" s="18" t="s">
        <v>56</v>
      </c>
      <c r="D775" s="18" t="s">
        <v>4848</v>
      </c>
      <c r="E775" s="18" t="s">
        <v>4849</v>
      </c>
      <c r="F775" s="18" t="s">
        <v>350</v>
      </c>
      <c r="G775" s="18" t="s">
        <v>60</v>
      </c>
      <c r="H775" s="18" t="s">
        <v>253</v>
      </c>
      <c r="I775" s="18" t="s">
        <v>4850</v>
      </c>
      <c r="J775" s="18" t="s">
        <v>4851</v>
      </c>
      <c r="K775" s="18" t="s">
        <v>1028</v>
      </c>
      <c r="L775" s="19">
        <v>14070</v>
      </c>
    </row>
    <row r="776" spans="1:12" ht="18" customHeight="1">
      <c r="A776" s="16" t="s">
        <v>4852</v>
      </c>
      <c r="B776" s="17" t="s">
        <v>2754</v>
      </c>
      <c r="C776" s="18" t="s">
        <v>56</v>
      </c>
      <c r="D776" s="18" t="s">
        <v>4853</v>
      </c>
      <c r="E776" s="18" t="s">
        <v>4854</v>
      </c>
      <c r="F776" s="18" t="s">
        <v>350</v>
      </c>
      <c r="G776" s="18" t="s">
        <v>60</v>
      </c>
      <c r="H776" s="18" t="s">
        <v>253</v>
      </c>
      <c r="I776" s="18" t="s">
        <v>4855</v>
      </c>
      <c r="J776" s="18" t="s">
        <v>371</v>
      </c>
      <c r="K776" s="18" t="s">
        <v>281</v>
      </c>
      <c r="L776" s="19" t="s">
        <v>372</v>
      </c>
    </row>
    <row r="777" spans="1:12" ht="18" customHeight="1">
      <c r="A777" s="16" t="s">
        <v>4856</v>
      </c>
      <c r="B777" s="17" t="s">
        <v>2754</v>
      </c>
      <c r="C777" s="18" t="s">
        <v>56</v>
      </c>
      <c r="D777" s="18" t="s">
        <v>4857</v>
      </c>
      <c r="E777" s="18" t="s">
        <v>4858</v>
      </c>
      <c r="F777" s="18" t="s">
        <v>350</v>
      </c>
      <c r="G777" s="18" t="s">
        <v>60</v>
      </c>
      <c r="H777" s="18" t="s">
        <v>253</v>
      </c>
      <c r="I777" s="18" t="s">
        <v>4859</v>
      </c>
      <c r="J777" s="18" t="s">
        <v>371</v>
      </c>
      <c r="K777" s="18" t="s">
        <v>281</v>
      </c>
      <c r="L777" s="19" t="s">
        <v>372</v>
      </c>
    </row>
    <row r="778" spans="1:12" ht="18" customHeight="1">
      <c r="A778" s="16" t="s">
        <v>4860</v>
      </c>
      <c r="B778" s="17" t="s">
        <v>2754</v>
      </c>
      <c r="C778" s="18" t="s">
        <v>56</v>
      </c>
      <c r="D778" s="18" t="s">
        <v>4861</v>
      </c>
      <c r="E778" s="18" t="s">
        <v>4862</v>
      </c>
      <c r="F778" s="18" t="s">
        <v>350</v>
      </c>
      <c r="G778" s="18" t="s">
        <v>60</v>
      </c>
      <c r="H778" s="18" t="s">
        <v>253</v>
      </c>
      <c r="I778" s="18" t="s">
        <v>4863</v>
      </c>
      <c r="J778" s="18" t="s">
        <v>371</v>
      </c>
      <c r="K778" s="18" t="s">
        <v>281</v>
      </c>
      <c r="L778" s="19" t="s">
        <v>372</v>
      </c>
    </row>
    <row r="779" spans="1:12" ht="18" customHeight="1">
      <c r="A779" s="16" t="s">
        <v>4864</v>
      </c>
      <c r="B779" s="17"/>
      <c r="C779" s="18" t="s">
        <v>56</v>
      </c>
      <c r="D779" s="18"/>
      <c r="E779" s="18" t="s">
        <v>4865</v>
      </c>
      <c r="F779" s="18"/>
      <c r="G779" s="18" t="s">
        <v>60</v>
      </c>
      <c r="H779" s="18" t="s">
        <v>253</v>
      </c>
      <c r="I779" s="18" t="s">
        <v>4866</v>
      </c>
      <c r="J779" s="18"/>
      <c r="K779" s="18"/>
      <c r="L779" s="19"/>
    </row>
    <row r="780" spans="1:12" ht="18" customHeight="1">
      <c r="A780" s="16" t="s">
        <v>4867</v>
      </c>
      <c r="B780" s="17" t="s">
        <v>2736</v>
      </c>
      <c r="C780" s="18" t="s">
        <v>56</v>
      </c>
      <c r="D780" s="18" t="s">
        <v>4868</v>
      </c>
      <c r="E780" s="18" t="s">
        <v>4869</v>
      </c>
      <c r="F780" s="18" t="s">
        <v>350</v>
      </c>
      <c r="G780" s="18" t="s">
        <v>60</v>
      </c>
      <c r="H780" s="18" t="s">
        <v>253</v>
      </c>
      <c r="I780" s="18" t="s">
        <v>4870</v>
      </c>
      <c r="J780" s="18" t="s">
        <v>4871</v>
      </c>
      <c r="K780" s="18" t="s">
        <v>1028</v>
      </c>
      <c r="L780" s="19">
        <v>14070</v>
      </c>
    </row>
    <row r="781" spans="1:12" ht="18" customHeight="1">
      <c r="A781" s="16" t="s">
        <v>4872</v>
      </c>
      <c r="B781" s="17"/>
      <c r="C781" s="18" t="s">
        <v>56</v>
      </c>
      <c r="D781" s="18"/>
      <c r="E781" s="18" t="s">
        <v>4873</v>
      </c>
      <c r="F781" s="18"/>
      <c r="G781" s="18" t="s">
        <v>60</v>
      </c>
      <c r="H781" s="18" t="s">
        <v>253</v>
      </c>
      <c r="I781" s="18" t="s">
        <v>4874</v>
      </c>
      <c r="J781" s="18"/>
      <c r="K781" s="18"/>
      <c r="L781" s="19"/>
    </row>
    <row r="782" spans="1:12" ht="18" customHeight="1">
      <c r="A782" s="16" t="s">
        <v>4875</v>
      </c>
      <c r="B782" s="17" t="s">
        <v>4876</v>
      </c>
      <c r="C782" s="18" t="s">
        <v>56</v>
      </c>
      <c r="D782" s="18" t="s">
        <v>4877</v>
      </c>
      <c r="E782" s="18" t="s">
        <v>4878</v>
      </c>
      <c r="F782" s="18" t="s">
        <v>350</v>
      </c>
      <c r="G782" s="18" t="s">
        <v>60</v>
      </c>
      <c r="H782" s="18" t="s">
        <v>253</v>
      </c>
      <c r="I782" s="18" t="s">
        <v>4879</v>
      </c>
      <c r="J782" s="18" t="s">
        <v>4880</v>
      </c>
      <c r="K782" s="18" t="s">
        <v>1028</v>
      </c>
      <c r="L782" s="19">
        <v>14030</v>
      </c>
    </row>
    <row r="783" spans="1:12" ht="18" customHeight="1">
      <c r="A783" s="16" t="s">
        <v>4881</v>
      </c>
      <c r="B783" s="17" t="s">
        <v>4882</v>
      </c>
      <c r="C783" s="18" t="s">
        <v>56</v>
      </c>
      <c r="D783" s="18" t="s">
        <v>4883</v>
      </c>
      <c r="E783" s="18" t="s">
        <v>4884</v>
      </c>
      <c r="F783" s="18" t="s">
        <v>350</v>
      </c>
      <c r="G783" s="18" t="s">
        <v>60</v>
      </c>
      <c r="H783" s="18" t="s">
        <v>253</v>
      </c>
      <c r="I783" s="18" t="s">
        <v>4885</v>
      </c>
      <c r="J783" s="18" t="s">
        <v>1118</v>
      </c>
      <c r="K783" s="18" t="s">
        <v>1028</v>
      </c>
      <c r="L783" s="19">
        <v>14050</v>
      </c>
    </row>
    <row r="784" spans="1:12" ht="18" customHeight="1">
      <c r="A784" s="16" t="s">
        <v>4886</v>
      </c>
      <c r="B784" s="17" t="s">
        <v>4887</v>
      </c>
      <c r="C784" s="18" t="s">
        <v>56</v>
      </c>
      <c r="D784" s="18" t="s">
        <v>4888</v>
      </c>
      <c r="E784" s="18" t="s">
        <v>4889</v>
      </c>
      <c r="F784" s="18" t="s">
        <v>350</v>
      </c>
      <c r="G784" s="18" t="s">
        <v>60</v>
      </c>
      <c r="H784" s="18" t="s">
        <v>253</v>
      </c>
      <c r="I784" s="18" t="s">
        <v>4890</v>
      </c>
      <c r="J784" s="18" t="s">
        <v>4891</v>
      </c>
      <c r="K784" s="18" t="s">
        <v>1028</v>
      </c>
      <c r="L784" s="19">
        <v>14070</v>
      </c>
    </row>
    <row r="785" spans="1:12" ht="18" customHeight="1">
      <c r="A785" s="16" t="s">
        <v>4892</v>
      </c>
      <c r="B785" s="17" t="s">
        <v>4893</v>
      </c>
      <c r="C785" s="18" t="s">
        <v>56</v>
      </c>
      <c r="D785" s="18" t="s">
        <v>350</v>
      </c>
      <c r="E785" s="18" t="s">
        <v>4894</v>
      </c>
      <c r="F785" s="18" t="s">
        <v>350</v>
      </c>
      <c r="G785" s="18" t="s">
        <v>60</v>
      </c>
      <c r="H785" s="18" t="s">
        <v>632</v>
      </c>
      <c r="I785" s="18" t="s">
        <v>4895</v>
      </c>
      <c r="J785" s="18" t="s">
        <v>4896</v>
      </c>
      <c r="K785" s="18" t="s">
        <v>915</v>
      </c>
      <c r="L785" s="19">
        <v>44810</v>
      </c>
    </row>
    <row r="786" spans="1:12" ht="18" customHeight="1">
      <c r="A786" s="16" t="s">
        <v>4897</v>
      </c>
      <c r="B786" s="17" t="s">
        <v>2843</v>
      </c>
      <c r="C786" s="18" t="s">
        <v>56</v>
      </c>
      <c r="D786" s="18" t="s">
        <v>4898</v>
      </c>
      <c r="E786" s="18" t="s">
        <v>4899</v>
      </c>
      <c r="F786" s="18" t="s">
        <v>350</v>
      </c>
      <c r="G786" s="18" t="s">
        <v>60</v>
      </c>
      <c r="H786" s="18" t="s">
        <v>253</v>
      </c>
      <c r="I786" s="18" t="s">
        <v>4900</v>
      </c>
      <c r="J786" s="18" t="s">
        <v>2751</v>
      </c>
      <c r="K786" s="18" t="s">
        <v>281</v>
      </c>
      <c r="L786" s="19" t="s">
        <v>2752</v>
      </c>
    </row>
    <row r="787" spans="1:12" ht="18" customHeight="1">
      <c r="A787" s="16" t="s">
        <v>4901</v>
      </c>
      <c r="B787" s="17">
        <v>4656</v>
      </c>
      <c r="C787" s="18" t="s">
        <v>56</v>
      </c>
      <c r="D787" s="18" t="s">
        <v>4902</v>
      </c>
      <c r="E787" s="18" t="s">
        <v>4903</v>
      </c>
      <c r="F787" s="18" t="s">
        <v>4904</v>
      </c>
      <c r="G787" s="18" t="s">
        <v>60</v>
      </c>
      <c r="H787" s="18" t="s">
        <v>253</v>
      </c>
      <c r="I787" s="18" t="s">
        <v>4905</v>
      </c>
      <c r="J787" s="18" t="s">
        <v>4906</v>
      </c>
      <c r="K787" s="18" t="s">
        <v>1975</v>
      </c>
      <c r="L787" s="19">
        <v>15420</v>
      </c>
    </row>
    <row r="788" spans="1:12" ht="18" customHeight="1">
      <c r="A788" s="16" t="s">
        <v>4907</v>
      </c>
      <c r="B788" s="17" t="s">
        <v>4908</v>
      </c>
      <c r="C788" s="18" t="s">
        <v>56</v>
      </c>
      <c r="D788" s="18" t="s">
        <v>4909</v>
      </c>
      <c r="E788" s="18" t="s">
        <v>4910</v>
      </c>
      <c r="F788" s="18" t="s">
        <v>4904</v>
      </c>
      <c r="G788" s="18" t="s">
        <v>60</v>
      </c>
      <c r="H788" s="18" t="s">
        <v>253</v>
      </c>
      <c r="I788" s="18" t="s">
        <v>4911</v>
      </c>
      <c r="J788" s="18" t="s">
        <v>4912</v>
      </c>
      <c r="K788" s="18" t="s">
        <v>1217</v>
      </c>
      <c r="L788" s="19" t="s">
        <v>2112</v>
      </c>
    </row>
    <row r="789" spans="1:12" ht="18" customHeight="1">
      <c r="A789" s="16" t="s">
        <v>4913</v>
      </c>
      <c r="B789" s="17" t="s">
        <v>4914</v>
      </c>
      <c r="C789" s="18" t="s">
        <v>56</v>
      </c>
      <c r="D789" s="18" t="s">
        <v>4915</v>
      </c>
      <c r="E789" s="18" t="s">
        <v>4916</v>
      </c>
      <c r="F789" s="18" t="s">
        <v>4904</v>
      </c>
      <c r="G789" s="18" t="s">
        <v>60</v>
      </c>
      <c r="H789" s="18" t="s">
        <v>632</v>
      </c>
      <c r="I789" s="18" t="s">
        <v>4917</v>
      </c>
      <c r="J789" s="18" t="s">
        <v>4918</v>
      </c>
      <c r="K789" s="18" t="s">
        <v>4919</v>
      </c>
      <c r="L789" s="19">
        <v>44430</v>
      </c>
    </row>
    <row r="790" spans="1:12" ht="18" customHeight="1">
      <c r="A790" s="16" t="s">
        <v>4920</v>
      </c>
      <c r="B790" s="17" t="s">
        <v>4921</v>
      </c>
      <c r="C790" s="18" t="s">
        <v>56</v>
      </c>
      <c r="D790" s="18" t="s">
        <v>4922</v>
      </c>
      <c r="E790" s="18" t="s">
        <v>4923</v>
      </c>
      <c r="F790" s="18" t="s">
        <v>4904</v>
      </c>
      <c r="G790" s="18" t="s">
        <v>60</v>
      </c>
      <c r="H790" s="18" t="s">
        <v>221</v>
      </c>
      <c r="I790" s="18" t="s">
        <v>4924</v>
      </c>
      <c r="J790" s="18" t="s">
        <v>223</v>
      </c>
      <c r="K790" s="18" t="s">
        <v>221</v>
      </c>
      <c r="L790" s="19">
        <v>90000</v>
      </c>
    </row>
    <row r="791" spans="1:12" ht="18" customHeight="1">
      <c r="A791" s="16" t="s">
        <v>4925</v>
      </c>
      <c r="B791" s="17" t="s">
        <v>4926</v>
      </c>
      <c r="C791" s="18" t="s">
        <v>56</v>
      </c>
      <c r="D791" s="18" t="s">
        <v>4927</v>
      </c>
      <c r="E791" s="18" t="s">
        <v>4928</v>
      </c>
      <c r="F791" s="18" t="s">
        <v>4904</v>
      </c>
      <c r="G791" s="18" t="s">
        <v>60</v>
      </c>
      <c r="H791" s="18" t="s">
        <v>76</v>
      </c>
      <c r="I791" s="18" t="s">
        <v>4929</v>
      </c>
      <c r="J791" s="18" t="s">
        <v>4930</v>
      </c>
      <c r="K791" s="18" t="s">
        <v>4931</v>
      </c>
      <c r="L791" s="19">
        <v>23670</v>
      </c>
    </row>
    <row r="792" spans="1:12" ht="18" customHeight="1">
      <c r="A792" s="16" t="s">
        <v>4932</v>
      </c>
      <c r="B792" s="17" t="s">
        <v>4933</v>
      </c>
      <c r="C792" s="18" t="s">
        <v>56</v>
      </c>
      <c r="D792" s="18" t="s">
        <v>4934</v>
      </c>
      <c r="E792" s="18" t="s">
        <v>4935</v>
      </c>
      <c r="F792" s="18" t="s">
        <v>4904</v>
      </c>
      <c r="G792" s="18" t="s">
        <v>60</v>
      </c>
      <c r="H792" s="18" t="s">
        <v>1153</v>
      </c>
      <c r="I792" s="18" t="s">
        <v>4936</v>
      </c>
      <c r="J792" s="18" t="s">
        <v>4937</v>
      </c>
      <c r="K792" s="18" t="s">
        <v>4938</v>
      </c>
      <c r="L792" s="19">
        <v>70000</v>
      </c>
    </row>
    <row r="793" spans="1:12" ht="18" customHeight="1">
      <c r="A793" s="16" t="s">
        <v>4939</v>
      </c>
      <c r="B793" s="17" t="s">
        <v>4940</v>
      </c>
      <c r="C793" s="18" t="s">
        <v>56</v>
      </c>
      <c r="D793" s="18" t="s">
        <v>4941</v>
      </c>
      <c r="E793" s="18" t="s">
        <v>4942</v>
      </c>
      <c r="F793" s="18" t="s">
        <v>4904</v>
      </c>
      <c r="G793" s="18" t="s">
        <v>60</v>
      </c>
      <c r="H793" s="18" t="s">
        <v>128</v>
      </c>
      <c r="I793" s="18" t="s">
        <v>4943</v>
      </c>
      <c r="J793" s="18" t="s">
        <v>4944</v>
      </c>
      <c r="K793" s="18" t="s">
        <v>128</v>
      </c>
      <c r="L793" s="19">
        <v>36000</v>
      </c>
    </row>
    <row r="794" spans="1:12" ht="18" customHeight="1">
      <c r="A794" s="16" t="s">
        <v>4945</v>
      </c>
      <c r="B794" s="17" t="s">
        <v>4946</v>
      </c>
      <c r="C794" s="18" t="s">
        <v>56</v>
      </c>
      <c r="D794" s="18" t="s">
        <v>4947</v>
      </c>
      <c r="E794" s="18" t="s">
        <v>4948</v>
      </c>
      <c r="F794" s="18" t="s">
        <v>4904</v>
      </c>
      <c r="G794" s="18" t="s">
        <v>60</v>
      </c>
      <c r="H794" s="18" t="s">
        <v>128</v>
      </c>
      <c r="I794" s="18" t="s">
        <v>4949</v>
      </c>
      <c r="J794" s="18" t="s">
        <v>4950</v>
      </c>
      <c r="K794" s="18" t="s">
        <v>3627</v>
      </c>
      <c r="L794" s="19">
        <v>37800</v>
      </c>
    </row>
    <row r="795" spans="1:12" ht="18" customHeight="1">
      <c r="A795" s="16" t="s">
        <v>4951</v>
      </c>
      <c r="B795" s="17" t="s">
        <v>4952</v>
      </c>
      <c r="C795" s="18" t="s">
        <v>56</v>
      </c>
      <c r="D795" s="18" t="s">
        <v>4953</v>
      </c>
      <c r="E795" s="18" t="s">
        <v>4954</v>
      </c>
      <c r="F795" s="18" t="s">
        <v>4904</v>
      </c>
      <c r="G795" s="18" t="s">
        <v>60</v>
      </c>
      <c r="H795" s="18" t="s">
        <v>583</v>
      </c>
      <c r="I795" s="18" t="s">
        <v>4955</v>
      </c>
      <c r="J795" s="18" t="s">
        <v>4956</v>
      </c>
      <c r="K795" s="18" t="s">
        <v>1588</v>
      </c>
      <c r="L795" s="19">
        <v>43000</v>
      </c>
    </row>
    <row r="796" spans="1:12" ht="18" customHeight="1">
      <c r="A796" s="16" t="s">
        <v>4957</v>
      </c>
      <c r="B796" s="17" t="s">
        <v>4958</v>
      </c>
      <c r="C796" s="18" t="s">
        <v>56</v>
      </c>
      <c r="D796" s="18" t="s">
        <v>4959</v>
      </c>
      <c r="E796" s="18" t="s">
        <v>4960</v>
      </c>
      <c r="F796" s="18" t="s">
        <v>4904</v>
      </c>
      <c r="G796" s="18" t="s">
        <v>60</v>
      </c>
      <c r="H796" s="18" t="s">
        <v>168</v>
      </c>
      <c r="I796" s="18" t="s">
        <v>4961</v>
      </c>
      <c r="J796" s="18" t="s">
        <v>4962</v>
      </c>
      <c r="K796" s="18" t="s">
        <v>4963</v>
      </c>
      <c r="L796" s="19">
        <v>74450</v>
      </c>
    </row>
    <row r="797" spans="1:12" ht="18" customHeight="1">
      <c r="A797" s="16" t="s">
        <v>4964</v>
      </c>
      <c r="B797" s="17" t="s">
        <v>4965</v>
      </c>
      <c r="C797" s="18" t="s">
        <v>56</v>
      </c>
      <c r="D797" s="18" t="s">
        <v>4966</v>
      </c>
      <c r="E797" s="18" t="s">
        <v>4967</v>
      </c>
      <c r="F797" s="18" t="s">
        <v>4904</v>
      </c>
      <c r="G797" s="18" t="s">
        <v>60</v>
      </c>
      <c r="H797" s="18" t="s">
        <v>91</v>
      </c>
      <c r="I797" s="18" t="s">
        <v>4968</v>
      </c>
      <c r="J797" s="18" t="s">
        <v>4969</v>
      </c>
      <c r="K797" s="18" t="s">
        <v>4970</v>
      </c>
      <c r="L797" s="19">
        <v>29950</v>
      </c>
    </row>
    <row r="798" spans="1:12" ht="18" customHeight="1">
      <c r="A798" s="16" t="s">
        <v>4971</v>
      </c>
      <c r="B798" s="17" t="s">
        <v>4972</v>
      </c>
      <c r="C798" s="18" t="s">
        <v>56</v>
      </c>
      <c r="D798" s="18" t="s">
        <v>4973</v>
      </c>
      <c r="E798" s="18" t="s">
        <v>4974</v>
      </c>
      <c r="F798" s="18" t="s">
        <v>4904</v>
      </c>
      <c r="G798" s="18" t="s">
        <v>60</v>
      </c>
      <c r="H798" s="18" t="s">
        <v>68</v>
      </c>
      <c r="I798" s="18" t="s">
        <v>4975</v>
      </c>
      <c r="J798" s="18" t="s">
        <v>4976</v>
      </c>
      <c r="K798" s="18" t="s">
        <v>71</v>
      </c>
      <c r="L798" s="19">
        <v>21320</v>
      </c>
    </row>
    <row r="799" spans="1:12" ht="18" customHeight="1">
      <c r="A799" s="16" t="s">
        <v>4977</v>
      </c>
      <c r="B799" s="17" t="s">
        <v>4978</v>
      </c>
      <c r="C799" s="18" t="s">
        <v>56</v>
      </c>
      <c r="D799" s="18" t="s">
        <v>4979</v>
      </c>
      <c r="E799" s="18" t="s">
        <v>4980</v>
      </c>
      <c r="F799" s="18" t="s">
        <v>4904</v>
      </c>
      <c r="G799" s="18" t="s">
        <v>60</v>
      </c>
      <c r="H799" s="18" t="s">
        <v>221</v>
      </c>
      <c r="I799" s="18" t="s">
        <v>4981</v>
      </c>
      <c r="J799" s="18" t="s">
        <v>4982</v>
      </c>
      <c r="K799" s="18" t="s">
        <v>4983</v>
      </c>
      <c r="L799" s="19">
        <v>90500</v>
      </c>
    </row>
    <row r="800" spans="1:12" ht="18" customHeight="1">
      <c r="A800" s="16" t="s">
        <v>4984</v>
      </c>
      <c r="B800" s="17" t="s">
        <v>4985</v>
      </c>
      <c r="C800" s="18" t="s">
        <v>56</v>
      </c>
      <c r="D800" s="18" t="s">
        <v>4986</v>
      </c>
      <c r="E800" s="18" t="s">
        <v>4987</v>
      </c>
      <c r="F800" s="18" t="s">
        <v>4904</v>
      </c>
      <c r="G800" s="18" t="s">
        <v>60</v>
      </c>
      <c r="H800" s="18" t="s">
        <v>175</v>
      </c>
      <c r="I800" s="18" t="s">
        <v>4988</v>
      </c>
      <c r="J800" s="18" t="s">
        <v>4989</v>
      </c>
      <c r="K800" s="18" t="s">
        <v>4990</v>
      </c>
      <c r="L800" s="19">
        <v>76800</v>
      </c>
    </row>
    <row r="801" spans="1:12" ht="18" customHeight="1">
      <c r="A801" s="16" t="s">
        <v>4991</v>
      </c>
      <c r="B801" s="17" t="s">
        <v>4992</v>
      </c>
      <c r="C801" s="18" t="s">
        <v>56</v>
      </c>
      <c r="D801" s="18" t="s">
        <v>4993</v>
      </c>
      <c r="E801" s="18" t="s">
        <v>4994</v>
      </c>
      <c r="F801" s="18" t="s">
        <v>4904</v>
      </c>
      <c r="G801" s="18" t="s">
        <v>60</v>
      </c>
      <c r="H801" s="18" t="s">
        <v>136</v>
      </c>
      <c r="I801" s="18" t="s">
        <v>4995</v>
      </c>
      <c r="J801" s="18" t="s">
        <v>4996</v>
      </c>
      <c r="K801" s="18" t="s">
        <v>2656</v>
      </c>
      <c r="L801" s="19">
        <v>41700</v>
      </c>
    </row>
    <row r="802" spans="1:12" ht="18" customHeight="1">
      <c r="A802" s="16" t="s">
        <v>4997</v>
      </c>
      <c r="B802" s="17" t="s">
        <v>4998</v>
      </c>
      <c r="C802" s="18" t="s">
        <v>56</v>
      </c>
      <c r="D802" s="18" t="s">
        <v>4999</v>
      </c>
      <c r="E802" s="18" t="s">
        <v>5000</v>
      </c>
      <c r="F802" s="18" t="s">
        <v>4904</v>
      </c>
      <c r="G802" s="18" t="s">
        <v>60</v>
      </c>
      <c r="H802" s="18" t="s">
        <v>253</v>
      </c>
      <c r="I802" s="18" t="s">
        <v>5001</v>
      </c>
      <c r="J802" s="18" t="s">
        <v>5002</v>
      </c>
      <c r="K802" s="18" t="s">
        <v>1277</v>
      </c>
      <c r="L802" s="19" t="s">
        <v>1278</v>
      </c>
    </row>
    <row r="803" spans="1:12" ht="18" customHeight="1">
      <c r="A803" s="16" t="s">
        <v>5003</v>
      </c>
      <c r="B803" s="17" t="s">
        <v>5004</v>
      </c>
      <c r="C803" s="18" t="s">
        <v>56</v>
      </c>
      <c r="D803" s="18" t="s">
        <v>5005</v>
      </c>
      <c r="E803" s="18" t="s">
        <v>5006</v>
      </c>
      <c r="F803" s="18" t="s">
        <v>4904</v>
      </c>
      <c r="G803" s="18" t="s">
        <v>60</v>
      </c>
      <c r="H803" s="18" t="s">
        <v>190</v>
      </c>
      <c r="I803" s="18" t="s">
        <v>5007</v>
      </c>
      <c r="J803" s="18" t="s">
        <v>5008</v>
      </c>
      <c r="K803" s="18" t="s">
        <v>190</v>
      </c>
      <c r="L803" s="19">
        <v>78270</v>
      </c>
    </row>
    <row r="804" spans="1:12" ht="18" customHeight="1">
      <c r="A804" s="16" t="s">
        <v>5009</v>
      </c>
      <c r="B804" s="17" t="s">
        <v>5010</v>
      </c>
      <c r="C804" s="18" t="s">
        <v>56</v>
      </c>
      <c r="D804" s="18" t="s">
        <v>5011</v>
      </c>
      <c r="E804" s="18" t="s">
        <v>5012</v>
      </c>
      <c r="F804" s="18" t="s">
        <v>3136</v>
      </c>
      <c r="G804" s="18" t="s">
        <v>60</v>
      </c>
      <c r="H804" s="18" t="s">
        <v>128</v>
      </c>
      <c r="I804" s="18" t="s">
        <v>5013</v>
      </c>
      <c r="J804" s="18" t="s">
        <v>5014</v>
      </c>
      <c r="K804" s="18" t="s">
        <v>131</v>
      </c>
      <c r="L804" s="19">
        <v>38010</v>
      </c>
    </row>
    <row r="805" spans="1:12" ht="18" customHeight="1">
      <c r="A805" s="16" t="s">
        <v>5015</v>
      </c>
      <c r="B805" s="17" t="s">
        <v>5016</v>
      </c>
      <c r="C805" s="18" t="s">
        <v>56</v>
      </c>
      <c r="D805" s="18" t="s">
        <v>5017</v>
      </c>
      <c r="E805" s="18" t="s">
        <v>5018</v>
      </c>
      <c r="F805" s="18" t="s">
        <v>4904</v>
      </c>
      <c r="G805" s="18" t="s">
        <v>60</v>
      </c>
      <c r="H805" s="18" t="s">
        <v>228</v>
      </c>
      <c r="I805" s="18" t="s">
        <v>5019</v>
      </c>
      <c r="J805" s="18" t="s">
        <v>3291</v>
      </c>
      <c r="K805" s="18" t="s">
        <v>163</v>
      </c>
      <c r="L805" s="19">
        <v>98604</v>
      </c>
    </row>
    <row r="806" spans="1:12" ht="18" customHeight="1">
      <c r="A806" s="16" t="s">
        <v>5020</v>
      </c>
      <c r="B806" s="17" t="s">
        <v>5021</v>
      </c>
      <c r="C806" s="18" t="s">
        <v>56</v>
      </c>
      <c r="D806" s="18" t="s">
        <v>5022</v>
      </c>
      <c r="E806" s="18" t="s">
        <v>5023</v>
      </c>
      <c r="F806" s="18" t="s">
        <v>4904</v>
      </c>
      <c r="G806" s="18" t="s">
        <v>60</v>
      </c>
      <c r="H806" s="18" t="s">
        <v>61</v>
      </c>
      <c r="I806" s="18" t="s">
        <v>5024</v>
      </c>
      <c r="J806" s="18" t="s">
        <v>5025</v>
      </c>
      <c r="K806" s="18" t="s">
        <v>61</v>
      </c>
      <c r="L806" s="19">
        <v>20050</v>
      </c>
    </row>
    <row r="807" spans="1:12" ht="18" customHeight="1">
      <c r="A807" s="16" t="s">
        <v>5026</v>
      </c>
      <c r="B807" s="17" t="s">
        <v>5027</v>
      </c>
      <c r="C807" s="18" t="s">
        <v>56</v>
      </c>
      <c r="D807" s="18" t="s">
        <v>5028</v>
      </c>
      <c r="E807" s="18" t="s">
        <v>5029</v>
      </c>
      <c r="F807" s="18" t="s">
        <v>4904</v>
      </c>
      <c r="G807" s="18" t="s">
        <v>60</v>
      </c>
      <c r="H807" s="18" t="s">
        <v>160</v>
      </c>
      <c r="I807" s="18" t="s">
        <v>5030</v>
      </c>
      <c r="J807" s="18" t="s">
        <v>5031</v>
      </c>
      <c r="K807" s="18" t="s">
        <v>930</v>
      </c>
      <c r="L807" s="19">
        <v>64380</v>
      </c>
    </row>
    <row r="808" spans="1:12" ht="18" customHeight="1">
      <c r="A808" s="16" t="s">
        <v>5032</v>
      </c>
      <c r="B808" s="17" t="s">
        <v>5033</v>
      </c>
      <c r="C808" s="18" t="s">
        <v>56</v>
      </c>
      <c r="D808" s="18" t="s">
        <v>5034</v>
      </c>
      <c r="E808" s="18" t="s">
        <v>5035</v>
      </c>
      <c r="F808" s="18" t="s">
        <v>4904</v>
      </c>
      <c r="G808" s="18" t="s">
        <v>60</v>
      </c>
      <c r="H808" s="18" t="s">
        <v>144</v>
      </c>
      <c r="I808" s="18" t="s">
        <v>5036</v>
      </c>
      <c r="J808" s="18" t="s">
        <v>5037</v>
      </c>
      <c r="K808" s="18" t="s">
        <v>147</v>
      </c>
      <c r="L808" s="19">
        <v>97219</v>
      </c>
    </row>
    <row r="809" spans="1:12" ht="18" customHeight="1">
      <c r="A809" s="16" t="s">
        <v>5038</v>
      </c>
      <c r="B809" s="17" t="s">
        <v>5039</v>
      </c>
      <c r="C809" s="18" t="s">
        <v>56</v>
      </c>
      <c r="D809" s="18" t="s">
        <v>5040</v>
      </c>
      <c r="E809" s="18" t="s">
        <v>5041</v>
      </c>
      <c r="F809" s="18" t="s">
        <v>4904</v>
      </c>
      <c r="G809" s="18" t="s">
        <v>60</v>
      </c>
      <c r="H809" s="18" t="s">
        <v>175</v>
      </c>
      <c r="I809" s="18" t="s">
        <v>5042</v>
      </c>
      <c r="J809" s="18" t="s">
        <v>5043</v>
      </c>
      <c r="K809" s="18" t="s">
        <v>175</v>
      </c>
      <c r="L809" s="19">
        <v>76000</v>
      </c>
    </row>
    <row r="810" spans="1:12" ht="18" customHeight="1">
      <c r="A810" s="16" t="s">
        <v>5044</v>
      </c>
      <c r="B810" s="17" t="s">
        <v>5045</v>
      </c>
      <c r="C810" s="18" t="s">
        <v>56</v>
      </c>
      <c r="D810" s="18" t="s">
        <v>5046</v>
      </c>
      <c r="E810" s="18" t="s">
        <v>5047</v>
      </c>
      <c r="F810" s="18" t="s">
        <v>4904</v>
      </c>
      <c r="G810" s="18" t="s">
        <v>60</v>
      </c>
      <c r="H810" s="18" t="s">
        <v>583</v>
      </c>
      <c r="I810" s="18" t="s">
        <v>5048</v>
      </c>
      <c r="J810" s="18" t="s">
        <v>5049</v>
      </c>
      <c r="K810" s="18" t="s">
        <v>1612</v>
      </c>
      <c r="L810" s="19">
        <v>42300</v>
      </c>
    </row>
    <row r="811" spans="1:12" ht="18" customHeight="1">
      <c r="A811" s="16" t="s">
        <v>5050</v>
      </c>
      <c r="B811" s="17" t="s">
        <v>5051</v>
      </c>
      <c r="C811" s="18" t="s">
        <v>56</v>
      </c>
      <c r="D811" s="18" t="s">
        <v>5052</v>
      </c>
      <c r="E811" s="18" t="s">
        <v>5053</v>
      </c>
      <c r="F811" s="18" t="s">
        <v>4904</v>
      </c>
      <c r="G811" s="18" t="s">
        <v>60</v>
      </c>
      <c r="H811" s="18" t="s">
        <v>253</v>
      </c>
      <c r="I811" s="18" t="s">
        <v>5054</v>
      </c>
      <c r="J811" s="18" t="s">
        <v>5055</v>
      </c>
      <c r="K811" s="18" t="s">
        <v>1060</v>
      </c>
      <c r="L811" s="19">
        <v>11850</v>
      </c>
    </row>
    <row r="812" spans="1:12" ht="18" customHeight="1">
      <c r="A812" s="16" t="s">
        <v>5056</v>
      </c>
      <c r="B812" s="17" t="s">
        <v>5057</v>
      </c>
      <c r="C812" s="18" t="s">
        <v>56</v>
      </c>
      <c r="D812" s="18" t="s">
        <v>5058</v>
      </c>
      <c r="E812" s="18" t="s">
        <v>5059</v>
      </c>
      <c r="F812" s="18" t="s">
        <v>4904</v>
      </c>
      <c r="G812" s="18" t="s">
        <v>60</v>
      </c>
      <c r="H812" s="18" t="s">
        <v>152</v>
      </c>
      <c r="I812" s="18" t="s">
        <v>5060</v>
      </c>
      <c r="J812" s="18" t="s">
        <v>5061</v>
      </c>
      <c r="K812" s="18" t="s">
        <v>5062</v>
      </c>
      <c r="L812" s="19">
        <v>63630</v>
      </c>
    </row>
    <row r="813" spans="1:12" ht="18" customHeight="1">
      <c r="A813" s="16" t="s">
        <v>5063</v>
      </c>
      <c r="B813" s="17" t="s">
        <v>5064</v>
      </c>
      <c r="C813" s="18" t="s">
        <v>56</v>
      </c>
      <c r="D813" s="18" t="s">
        <v>5065</v>
      </c>
      <c r="E813" s="18" t="s">
        <v>5066</v>
      </c>
      <c r="F813" s="18" t="s">
        <v>4904</v>
      </c>
      <c r="G813" s="18" t="s">
        <v>60</v>
      </c>
      <c r="H813" s="18" t="s">
        <v>253</v>
      </c>
      <c r="I813" s="18" t="s">
        <v>5067</v>
      </c>
      <c r="J813" s="18" t="s">
        <v>5068</v>
      </c>
      <c r="K813" s="18" t="s">
        <v>1975</v>
      </c>
      <c r="L813" s="19">
        <v>15900</v>
      </c>
    </row>
    <row r="814" spans="1:12" ht="18" customHeight="1">
      <c r="A814" s="16" t="s">
        <v>5069</v>
      </c>
      <c r="B814" s="17" t="s">
        <v>5070</v>
      </c>
      <c r="C814" s="18" t="s">
        <v>56</v>
      </c>
      <c r="D814" s="18" t="s">
        <v>5071</v>
      </c>
      <c r="E814" s="18" t="s">
        <v>5072</v>
      </c>
      <c r="F814" s="18" t="s">
        <v>4904</v>
      </c>
      <c r="G814" s="18" t="s">
        <v>60</v>
      </c>
      <c r="H814" s="18" t="s">
        <v>106</v>
      </c>
      <c r="I814" s="18" t="s">
        <v>5073</v>
      </c>
      <c r="J814" s="18" t="s">
        <v>5074</v>
      </c>
      <c r="K814" s="18" t="s">
        <v>109</v>
      </c>
      <c r="L814" s="19">
        <v>25000</v>
      </c>
    </row>
    <row r="815" spans="1:12" ht="18" customHeight="1">
      <c r="A815" s="16" t="s">
        <v>5075</v>
      </c>
      <c r="B815" s="17" t="s">
        <v>5076</v>
      </c>
      <c r="C815" s="18" t="s">
        <v>56</v>
      </c>
      <c r="D815" s="18" t="s">
        <v>5077</v>
      </c>
      <c r="E815" s="18" t="s">
        <v>5078</v>
      </c>
      <c r="F815" s="18" t="s">
        <v>4904</v>
      </c>
      <c r="G815" s="18" t="s">
        <v>60</v>
      </c>
      <c r="H815" s="18" t="s">
        <v>583</v>
      </c>
      <c r="I815" s="18" t="s">
        <v>5079</v>
      </c>
      <c r="J815" s="18" t="s">
        <v>5080</v>
      </c>
      <c r="K815" s="18" t="s">
        <v>2664</v>
      </c>
      <c r="L815" s="19">
        <v>42000</v>
      </c>
    </row>
    <row r="816" spans="1:12" ht="18" customHeight="1">
      <c r="A816" s="16" t="s">
        <v>5081</v>
      </c>
      <c r="B816" s="17" t="s">
        <v>5082</v>
      </c>
      <c r="C816" s="18" t="s">
        <v>56</v>
      </c>
      <c r="D816" s="18" t="s">
        <v>5083</v>
      </c>
      <c r="E816" s="18" t="s">
        <v>5084</v>
      </c>
      <c r="F816" s="18" t="s">
        <v>4904</v>
      </c>
      <c r="G816" s="18" t="s">
        <v>60</v>
      </c>
      <c r="H816" s="18" t="s">
        <v>351</v>
      </c>
      <c r="I816" s="18" t="s">
        <v>5085</v>
      </c>
      <c r="J816" s="18" t="s">
        <v>5086</v>
      </c>
      <c r="K816" s="18" t="s">
        <v>1047</v>
      </c>
      <c r="L816" s="19">
        <v>62000</v>
      </c>
    </row>
    <row r="817" spans="1:12" ht="18" customHeight="1">
      <c r="A817" s="16" t="s">
        <v>5087</v>
      </c>
      <c r="B817" s="17" t="s">
        <v>5088</v>
      </c>
      <c r="C817" s="18" t="s">
        <v>56</v>
      </c>
      <c r="D817" s="18" t="s">
        <v>5089</v>
      </c>
      <c r="E817" s="18" t="s">
        <v>5090</v>
      </c>
      <c r="F817" s="18" t="s">
        <v>4904</v>
      </c>
      <c r="G817" s="18" t="s">
        <v>60</v>
      </c>
      <c r="H817" s="18" t="s">
        <v>168</v>
      </c>
      <c r="I817" s="18" t="s">
        <v>5091</v>
      </c>
      <c r="J817" s="18" t="s">
        <v>5092</v>
      </c>
      <c r="K817" s="18" t="s">
        <v>5093</v>
      </c>
      <c r="L817" s="19">
        <v>74200</v>
      </c>
    </row>
    <row r="818" spans="1:12" ht="18" customHeight="1">
      <c r="A818" s="16" t="s">
        <v>5094</v>
      </c>
      <c r="B818" s="17" t="s">
        <v>5095</v>
      </c>
      <c r="C818" s="18" t="s">
        <v>56</v>
      </c>
      <c r="D818" s="18" t="s">
        <v>5096</v>
      </c>
      <c r="E818" s="18" t="s">
        <v>5097</v>
      </c>
      <c r="F818" s="18" t="s">
        <v>4904</v>
      </c>
      <c r="G818" s="18" t="s">
        <v>60</v>
      </c>
      <c r="H818" s="18" t="s">
        <v>294</v>
      </c>
      <c r="I818" s="18" t="s">
        <v>5098</v>
      </c>
      <c r="J818" s="18" t="s">
        <v>5099</v>
      </c>
      <c r="K818" s="18" t="s">
        <v>1080</v>
      </c>
      <c r="L818" s="19">
        <v>56230</v>
      </c>
    </row>
    <row r="819" spans="1:12" ht="18" customHeight="1">
      <c r="A819" s="16" t="s">
        <v>5100</v>
      </c>
      <c r="B819" s="17" t="s">
        <v>5101</v>
      </c>
      <c r="C819" s="18" t="s">
        <v>56</v>
      </c>
      <c r="D819" s="18" t="s">
        <v>5102</v>
      </c>
      <c r="E819" s="18" t="s">
        <v>5103</v>
      </c>
      <c r="F819" s="18" t="s">
        <v>4904</v>
      </c>
      <c r="G819" s="18" t="s">
        <v>60</v>
      </c>
      <c r="H819" s="18" t="s">
        <v>182</v>
      </c>
      <c r="I819" s="18" t="s">
        <v>5104</v>
      </c>
      <c r="J819" s="18" t="s">
        <v>5105</v>
      </c>
      <c r="K819" s="18" t="s">
        <v>185</v>
      </c>
      <c r="L819" s="19">
        <v>77000</v>
      </c>
    </row>
    <row r="820" spans="1:12" ht="18" customHeight="1">
      <c r="A820" s="16" t="s">
        <v>5106</v>
      </c>
      <c r="B820" s="17" t="s">
        <v>5107</v>
      </c>
      <c r="C820" s="18" t="s">
        <v>56</v>
      </c>
      <c r="D820" s="18" t="s">
        <v>5108</v>
      </c>
      <c r="E820" s="18" t="s">
        <v>5109</v>
      </c>
      <c r="F820" s="18" t="s">
        <v>4904</v>
      </c>
      <c r="G820" s="18" t="s">
        <v>60</v>
      </c>
      <c r="H820" s="18" t="s">
        <v>253</v>
      </c>
      <c r="I820" s="18" t="s">
        <v>5110</v>
      </c>
      <c r="J820" s="18" t="s">
        <v>5111</v>
      </c>
      <c r="K820" s="18" t="s">
        <v>2574</v>
      </c>
      <c r="L820" s="19">
        <v>16029</v>
      </c>
    </row>
    <row r="821" spans="1:12" ht="18" customHeight="1">
      <c r="A821" s="16" t="s">
        <v>5112</v>
      </c>
      <c r="B821" s="17" t="s">
        <v>5113</v>
      </c>
      <c r="C821" s="18" t="s">
        <v>56</v>
      </c>
      <c r="D821" s="18" t="s">
        <v>5114</v>
      </c>
      <c r="E821" s="18" t="s">
        <v>5115</v>
      </c>
      <c r="F821" s="18" t="s">
        <v>4904</v>
      </c>
      <c r="G821" s="18" t="s">
        <v>60</v>
      </c>
      <c r="H821" s="18" t="s">
        <v>253</v>
      </c>
      <c r="I821" s="18" t="s">
        <v>5116</v>
      </c>
      <c r="J821" s="18" t="s">
        <v>5117</v>
      </c>
      <c r="K821" s="18" t="s">
        <v>281</v>
      </c>
      <c r="L821" s="19" t="s">
        <v>3460</v>
      </c>
    </row>
    <row r="822" spans="1:12" ht="18" customHeight="1">
      <c r="A822" s="16" t="s">
        <v>5118</v>
      </c>
      <c r="B822" s="17" t="s">
        <v>5119</v>
      </c>
      <c r="C822" s="18" t="s">
        <v>56</v>
      </c>
      <c r="D822" s="18" t="s">
        <v>5120</v>
      </c>
      <c r="E822" s="18" t="s">
        <v>5121</v>
      </c>
      <c r="F822" s="18" t="s">
        <v>4904</v>
      </c>
      <c r="G822" s="18" t="s">
        <v>60</v>
      </c>
      <c r="H822" s="18" t="s">
        <v>253</v>
      </c>
      <c r="I822" s="18" t="s">
        <v>5122</v>
      </c>
      <c r="J822" s="18" t="s">
        <v>5123</v>
      </c>
      <c r="K822" s="18" t="s">
        <v>1975</v>
      </c>
      <c r="L822" s="19" t="s">
        <v>5124</v>
      </c>
    </row>
    <row r="823" spans="1:12" ht="18" customHeight="1">
      <c r="A823" s="16" t="s">
        <v>5125</v>
      </c>
      <c r="B823" s="17" t="s">
        <v>5126</v>
      </c>
      <c r="C823" s="18" t="s">
        <v>56</v>
      </c>
      <c r="D823" s="18" t="s">
        <v>5127</v>
      </c>
      <c r="E823" s="18" t="s">
        <v>5128</v>
      </c>
      <c r="F823" s="18" t="s">
        <v>4904</v>
      </c>
      <c r="G823" s="18" t="s">
        <v>60</v>
      </c>
      <c r="H823" s="18" t="s">
        <v>136</v>
      </c>
      <c r="I823" s="18" t="s">
        <v>5129</v>
      </c>
      <c r="J823" s="18" t="s">
        <v>5130</v>
      </c>
      <c r="K823" s="18" t="s">
        <v>5131</v>
      </c>
      <c r="L823" s="19">
        <v>39200</v>
      </c>
    </row>
    <row r="824" spans="1:12" ht="18" customHeight="1">
      <c r="A824" s="16" t="s">
        <v>5132</v>
      </c>
      <c r="B824" s="17" t="s">
        <v>5133</v>
      </c>
      <c r="C824" s="18" t="s">
        <v>56</v>
      </c>
      <c r="D824" s="18" t="s">
        <v>5134</v>
      </c>
      <c r="E824" s="18" t="s">
        <v>5135</v>
      </c>
      <c r="F824" s="18" t="s">
        <v>4904</v>
      </c>
      <c r="G824" s="18" t="s">
        <v>60</v>
      </c>
      <c r="H824" s="18" t="s">
        <v>68</v>
      </c>
      <c r="I824" s="18" t="s">
        <v>5136</v>
      </c>
      <c r="J824" s="18" t="s">
        <v>5137</v>
      </c>
      <c r="K824" s="18" t="s">
        <v>2314</v>
      </c>
      <c r="L824" s="19">
        <v>22508</v>
      </c>
    </row>
    <row r="825" spans="1:12" ht="18" customHeight="1">
      <c r="A825" s="16" t="s">
        <v>5138</v>
      </c>
      <c r="B825" s="17" t="s">
        <v>5139</v>
      </c>
      <c r="C825" s="18" t="s">
        <v>56</v>
      </c>
      <c r="D825" s="18" t="s">
        <v>5140</v>
      </c>
      <c r="E825" s="18" t="s">
        <v>5141</v>
      </c>
      <c r="F825" s="18" t="s">
        <v>4904</v>
      </c>
      <c r="G825" s="18" t="s">
        <v>60</v>
      </c>
      <c r="H825" s="18" t="s">
        <v>91</v>
      </c>
      <c r="I825" s="18" t="s">
        <v>5142</v>
      </c>
      <c r="J825" s="18" t="s">
        <v>5143</v>
      </c>
      <c r="K825" s="18" t="s">
        <v>94</v>
      </c>
      <c r="L825" s="19">
        <v>29060</v>
      </c>
    </row>
    <row r="826" spans="1:12" ht="18" customHeight="1">
      <c r="A826" s="16" t="s">
        <v>5144</v>
      </c>
      <c r="B826" s="17" t="s">
        <v>5145</v>
      </c>
      <c r="C826" s="18" t="s">
        <v>56</v>
      </c>
      <c r="D826" s="18" t="s">
        <v>5146</v>
      </c>
      <c r="E826" s="18" t="s">
        <v>5147</v>
      </c>
      <c r="F826" s="18" t="s">
        <v>4904</v>
      </c>
      <c r="G826" s="18" t="s">
        <v>60</v>
      </c>
      <c r="H826" s="18" t="s">
        <v>253</v>
      </c>
      <c r="I826" s="18" t="s">
        <v>5148</v>
      </c>
      <c r="J826" s="18" t="s">
        <v>5149</v>
      </c>
      <c r="K826" s="18" t="s">
        <v>330</v>
      </c>
      <c r="L826" s="19" t="s">
        <v>331</v>
      </c>
    </row>
    <row r="827" spans="1:12" ht="18" customHeight="1">
      <c r="A827" s="16" t="s">
        <v>5150</v>
      </c>
      <c r="B827" s="17" t="s">
        <v>5151</v>
      </c>
      <c r="C827" s="18" t="s">
        <v>56</v>
      </c>
      <c r="D827" s="18" t="s">
        <v>5152</v>
      </c>
      <c r="E827" s="18" t="s">
        <v>5153</v>
      </c>
      <c r="F827" s="18" t="s">
        <v>4904</v>
      </c>
      <c r="G827" s="18" t="s">
        <v>60</v>
      </c>
      <c r="H827" s="18" t="s">
        <v>91</v>
      </c>
      <c r="I827" s="18" t="s">
        <v>5154</v>
      </c>
      <c r="J827" s="18" t="s">
        <v>5155</v>
      </c>
      <c r="K827" s="18" t="s">
        <v>1777</v>
      </c>
      <c r="L827" s="19">
        <v>29210</v>
      </c>
    </row>
    <row r="828" spans="1:12" ht="18" customHeight="1">
      <c r="A828" s="16" t="s">
        <v>5156</v>
      </c>
      <c r="B828" s="17" t="s">
        <v>5157</v>
      </c>
      <c r="C828" s="18" t="s">
        <v>56</v>
      </c>
      <c r="D828" s="18" t="s">
        <v>5158</v>
      </c>
      <c r="E828" s="18" t="s">
        <v>5159</v>
      </c>
      <c r="F828" s="18" t="s">
        <v>4904</v>
      </c>
      <c r="G828" s="18" t="s">
        <v>60</v>
      </c>
      <c r="H828" s="18" t="s">
        <v>205</v>
      </c>
      <c r="I828" s="18" t="s">
        <v>5160</v>
      </c>
      <c r="J828" s="18" t="s">
        <v>5161</v>
      </c>
      <c r="K828" s="18" t="s">
        <v>208</v>
      </c>
      <c r="L828" s="19">
        <v>86000</v>
      </c>
    </row>
    <row r="829" spans="1:12" ht="18" customHeight="1">
      <c r="A829" s="16" t="s">
        <v>5162</v>
      </c>
      <c r="B829" s="17" t="s">
        <v>5163</v>
      </c>
      <c r="C829" s="18" t="s">
        <v>56</v>
      </c>
      <c r="D829" s="18" t="s">
        <v>5164</v>
      </c>
      <c r="E829" s="18" t="s">
        <v>5165</v>
      </c>
      <c r="F829" s="18" t="s">
        <v>4904</v>
      </c>
      <c r="G829" s="18" t="s">
        <v>60</v>
      </c>
      <c r="H829" s="18" t="s">
        <v>583</v>
      </c>
      <c r="I829" s="18" t="s">
        <v>5166</v>
      </c>
      <c r="J829" s="18" t="s">
        <v>5167</v>
      </c>
      <c r="K829" s="18" t="s">
        <v>3571</v>
      </c>
      <c r="L829" s="19">
        <v>42400</v>
      </c>
    </row>
    <row r="830" spans="1:12" ht="18" customHeight="1">
      <c r="A830" s="16" t="s">
        <v>5168</v>
      </c>
      <c r="B830" s="17" t="s">
        <v>5169</v>
      </c>
      <c r="C830" s="18" t="s">
        <v>56</v>
      </c>
      <c r="D830" s="18" t="s">
        <v>5170</v>
      </c>
      <c r="E830" s="18" t="s">
        <v>5171</v>
      </c>
      <c r="F830" s="18" t="s">
        <v>4904</v>
      </c>
      <c r="G830" s="18" t="s">
        <v>60</v>
      </c>
      <c r="H830" s="18" t="s">
        <v>1153</v>
      </c>
      <c r="I830" s="18" t="s">
        <v>5172</v>
      </c>
      <c r="J830" s="18" t="s">
        <v>5173</v>
      </c>
      <c r="K830" s="18" t="s">
        <v>1153</v>
      </c>
      <c r="L830" s="19">
        <v>68080</v>
      </c>
    </row>
    <row r="831" spans="1:12" ht="18" customHeight="1">
      <c r="A831" s="16" t="s">
        <v>5174</v>
      </c>
      <c r="B831" s="17" t="s">
        <v>5175</v>
      </c>
      <c r="C831" s="18" t="s">
        <v>56</v>
      </c>
      <c r="D831" s="18" t="s">
        <v>5176</v>
      </c>
      <c r="E831" s="18" t="s">
        <v>5177</v>
      </c>
      <c r="F831" s="18" t="s">
        <v>4904</v>
      </c>
      <c r="G831" s="18" t="s">
        <v>60</v>
      </c>
      <c r="H831" s="18" t="s">
        <v>197</v>
      </c>
      <c r="I831" s="18" t="s">
        <v>5178</v>
      </c>
      <c r="J831" s="18" t="s">
        <v>5179</v>
      </c>
      <c r="K831" s="18" t="s">
        <v>200</v>
      </c>
      <c r="L831" s="19">
        <v>83260</v>
      </c>
    </row>
    <row r="832" spans="1:12" ht="18" customHeight="1">
      <c r="A832" s="16" t="s">
        <v>5180</v>
      </c>
      <c r="B832" s="17" t="s">
        <v>5181</v>
      </c>
      <c r="C832" s="18" t="s">
        <v>56</v>
      </c>
      <c r="D832" s="18" t="s">
        <v>5182</v>
      </c>
      <c r="E832" s="18" t="s">
        <v>5183</v>
      </c>
      <c r="F832" s="18" t="s">
        <v>4904</v>
      </c>
      <c r="G832" s="18" t="s">
        <v>60</v>
      </c>
      <c r="H832" s="18" t="s">
        <v>253</v>
      </c>
      <c r="I832" s="18" t="s">
        <v>5184</v>
      </c>
      <c r="J832" s="18" t="s">
        <v>1302</v>
      </c>
      <c r="K832" s="18" t="s">
        <v>1060</v>
      </c>
      <c r="L832" s="19">
        <v>11320</v>
      </c>
    </row>
    <row r="833" spans="1:12" ht="18" customHeight="1">
      <c r="A833" s="16" t="s">
        <v>5185</v>
      </c>
      <c r="B833" s="17" t="s">
        <v>5186</v>
      </c>
      <c r="C833" s="18" t="s">
        <v>56</v>
      </c>
      <c r="D833" s="18" t="s">
        <v>5187</v>
      </c>
      <c r="E833" s="18" t="s">
        <v>5188</v>
      </c>
      <c r="F833" s="18" t="s">
        <v>4904</v>
      </c>
      <c r="G833" s="18" t="s">
        <v>60</v>
      </c>
      <c r="H833" s="18" t="s">
        <v>253</v>
      </c>
      <c r="I833" s="18" t="s">
        <v>5189</v>
      </c>
      <c r="J833" s="18" t="s">
        <v>5190</v>
      </c>
      <c r="K833" s="18" t="s">
        <v>281</v>
      </c>
      <c r="L833" s="19" t="s">
        <v>1269</v>
      </c>
    </row>
    <row r="834" spans="1:12" ht="18" customHeight="1">
      <c r="A834" s="16" t="s">
        <v>5191</v>
      </c>
      <c r="B834" s="17" t="s">
        <v>5192</v>
      </c>
      <c r="C834" s="18" t="s">
        <v>56</v>
      </c>
      <c r="D834" s="18" t="s">
        <v>5193</v>
      </c>
      <c r="E834" s="18" t="s">
        <v>5194</v>
      </c>
      <c r="F834" s="18" t="s">
        <v>4904</v>
      </c>
      <c r="G834" s="18" t="s">
        <v>60</v>
      </c>
      <c r="H834" s="18" t="s">
        <v>632</v>
      </c>
      <c r="I834" s="18" t="s">
        <v>5195</v>
      </c>
      <c r="J834" s="18" t="s">
        <v>5196</v>
      </c>
      <c r="K834" s="18" t="s">
        <v>915</v>
      </c>
      <c r="L834" s="19">
        <v>44680</v>
      </c>
    </row>
    <row r="835" spans="1:12" ht="18" customHeight="1">
      <c r="A835" s="16" t="s">
        <v>5197</v>
      </c>
      <c r="B835" s="17" t="s">
        <v>5198</v>
      </c>
      <c r="C835" s="18" t="s">
        <v>56</v>
      </c>
      <c r="D835" s="18" t="s">
        <v>5199</v>
      </c>
      <c r="E835" s="18" t="s">
        <v>5200</v>
      </c>
      <c r="F835" s="18" t="s">
        <v>4904</v>
      </c>
      <c r="G835" s="18" t="s">
        <v>60</v>
      </c>
      <c r="H835" s="18" t="s">
        <v>99</v>
      </c>
      <c r="I835" s="18" t="s">
        <v>5201</v>
      </c>
      <c r="J835" s="18" t="s">
        <v>5202</v>
      </c>
      <c r="K835" s="18" t="s">
        <v>2013</v>
      </c>
      <c r="L835" s="19">
        <v>32300</v>
      </c>
    </row>
    <row r="836" spans="1:12" ht="18" customHeight="1">
      <c r="A836" s="16" t="s">
        <v>5203</v>
      </c>
      <c r="B836" s="17" t="s">
        <v>5204</v>
      </c>
      <c r="C836" s="18" t="s">
        <v>56</v>
      </c>
      <c r="D836" s="18" t="s">
        <v>5205</v>
      </c>
      <c r="E836" s="18" t="s">
        <v>5206</v>
      </c>
      <c r="F836" s="18" t="s">
        <v>4904</v>
      </c>
      <c r="G836" s="18" t="s">
        <v>60</v>
      </c>
      <c r="H836" s="18" t="s">
        <v>228</v>
      </c>
      <c r="I836" s="18" t="s">
        <v>5207</v>
      </c>
      <c r="J836" s="18" t="s">
        <v>5208</v>
      </c>
      <c r="K836" s="18" t="s">
        <v>1534</v>
      </c>
      <c r="L836" s="19">
        <v>99060</v>
      </c>
    </row>
    <row r="837" spans="1:12" ht="18" customHeight="1">
      <c r="A837" s="16" t="s">
        <v>5209</v>
      </c>
      <c r="B837" s="17">
        <v>4657</v>
      </c>
      <c r="C837" s="18" t="s">
        <v>56</v>
      </c>
      <c r="D837" s="18" t="s">
        <v>5210</v>
      </c>
      <c r="E837" s="18" t="s">
        <v>5211</v>
      </c>
      <c r="F837" s="18" t="s">
        <v>4904</v>
      </c>
      <c r="G837" s="18" t="s">
        <v>60</v>
      </c>
      <c r="H837" s="18" t="s">
        <v>253</v>
      </c>
      <c r="I837" s="18" t="s">
        <v>5212</v>
      </c>
      <c r="J837" s="18" t="s">
        <v>5213</v>
      </c>
      <c r="K837" s="18" t="s">
        <v>3473</v>
      </c>
      <c r="L837" s="19" t="s">
        <v>3474</v>
      </c>
    </row>
    <row r="838" spans="1:12" ht="18" customHeight="1">
      <c r="A838" s="16" t="s">
        <v>5214</v>
      </c>
      <c r="B838" s="17" t="s">
        <v>5215</v>
      </c>
      <c r="C838" s="18" t="s">
        <v>56</v>
      </c>
      <c r="D838" s="18" t="s">
        <v>5216</v>
      </c>
      <c r="E838" s="18" t="s">
        <v>5217</v>
      </c>
      <c r="F838" s="18" t="s">
        <v>4904</v>
      </c>
      <c r="G838" s="18" t="s">
        <v>60</v>
      </c>
      <c r="H838" s="18" t="s">
        <v>213</v>
      </c>
      <c r="I838" s="18" t="s">
        <v>5218</v>
      </c>
      <c r="J838" s="18" t="s">
        <v>5219</v>
      </c>
      <c r="K838" s="18" t="s">
        <v>1327</v>
      </c>
      <c r="L838" s="19">
        <v>88050</v>
      </c>
    </row>
    <row r="839" spans="1:12" ht="18" customHeight="1">
      <c r="A839" s="16" t="s">
        <v>5220</v>
      </c>
      <c r="B839" s="17" t="s">
        <v>5221</v>
      </c>
      <c r="C839" s="18" t="s">
        <v>56</v>
      </c>
      <c r="D839" s="18" t="s">
        <v>5222</v>
      </c>
      <c r="E839" s="18" t="s">
        <v>5223</v>
      </c>
      <c r="F839" s="18" t="s">
        <v>4904</v>
      </c>
      <c r="G839" s="18" t="s">
        <v>60</v>
      </c>
      <c r="H839" s="18" t="s">
        <v>504</v>
      </c>
      <c r="I839" s="18" t="s">
        <v>5224</v>
      </c>
      <c r="J839" s="18" t="s">
        <v>5225</v>
      </c>
      <c r="K839" s="18" t="s">
        <v>5226</v>
      </c>
      <c r="L839" s="19">
        <v>81220</v>
      </c>
    </row>
    <row r="840" spans="1:12" ht="18" customHeight="1">
      <c r="A840" s="16" t="s">
        <v>5227</v>
      </c>
      <c r="B840" s="17" t="s">
        <v>5228</v>
      </c>
      <c r="C840" s="18" t="s">
        <v>56</v>
      </c>
      <c r="D840" s="18" t="s">
        <v>5229</v>
      </c>
      <c r="E840" s="18" t="s">
        <v>5230</v>
      </c>
      <c r="F840" s="18" t="s">
        <v>3136</v>
      </c>
      <c r="G840" s="18" t="s">
        <v>60</v>
      </c>
      <c r="H840" s="18" t="s">
        <v>128</v>
      </c>
      <c r="I840" s="18" t="s">
        <v>5231</v>
      </c>
      <c r="J840" s="18" t="s">
        <v>310</v>
      </c>
      <c r="K840" s="18" t="s">
        <v>131</v>
      </c>
      <c r="L840" s="19">
        <v>38020</v>
      </c>
    </row>
    <row r="841" spans="1:12" ht="18" customHeight="1">
      <c r="A841" s="16" t="s">
        <v>5232</v>
      </c>
      <c r="B841" s="17" t="s">
        <v>5233</v>
      </c>
      <c r="C841" s="18" t="s">
        <v>56</v>
      </c>
      <c r="D841" s="18" t="s">
        <v>5234</v>
      </c>
      <c r="E841" s="18" t="s">
        <v>5235</v>
      </c>
      <c r="F841" s="18" t="s">
        <v>350</v>
      </c>
      <c r="G841" s="18" t="s">
        <v>60</v>
      </c>
      <c r="H841" s="18" t="s">
        <v>197</v>
      </c>
      <c r="I841" s="18" t="s">
        <v>5236</v>
      </c>
      <c r="J841" s="18" t="s">
        <v>5237</v>
      </c>
      <c r="K841" s="18" t="s">
        <v>200</v>
      </c>
      <c r="L841" s="19">
        <v>83000</v>
      </c>
    </row>
    <row r="842" spans="1:12" ht="18" customHeight="1">
      <c r="A842" s="16" t="s">
        <v>5238</v>
      </c>
      <c r="B842" s="17" t="s">
        <v>5239</v>
      </c>
      <c r="C842" s="18" t="s">
        <v>56</v>
      </c>
      <c r="D842" s="18" t="s">
        <v>5240</v>
      </c>
      <c r="E842" s="18" t="s">
        <v>5241</v>
      </c>
      <c r="F842" s="18" t="s">
        <v>350</v>
      </c>
      <c r="G842" s="18" t="s">
        <v>60</v>
      </c>
      <c r="H842" s="18" t="s">
        <v>144</v>
      </c>
      <c r="I842" s="18" t="s">
        <v>5242</v>
      </c>
      <c r="J842" s="18" t="s">
        <v>5243</v>
      </c>
      <c r="K842" s="18" t="s">
        <v>147</v>
      </c>
      <c r="L842" s="19">
        <v>97000</v>
      </c>
    </row>
    <row r="843" spans="1:12" ht="18" customHeight="1">
      <c r="A843" s="16" t="s">
        <v>5244</v>
      </c>
      <c r="B843" s="17" t="s">
        <v>924</v>
      </c>
      <c r="C843" s="18" t="s">
        <v>56</v>
      </c>
      <c r="D843" s="18" t="s">
        <v>5245</v>
      </c>
      <c r="E843" s="18" t="s">
        <v>5246</v>
      </c>
      <c r="F843" s="18" t="s">
        <v>5247</v>
      </c>
      <c r="G843" s="18" t="s">
        <v>60</v>
      </c>
      <c r="H843" s="18" t="s">
        <v>160</v>
      </c>
      <c r="I843" s="18" t="s">
        <v>5248</v>
      </c>
      <c r="J843" s="18" t="s">
        <v>929</v>
      </c>
      <c r="K843" s="18" t="s">
        <v>930</v>
      </c>
      <c r="L843" s="19">
        <v>64380</v>
      </c>
    </row>
    <row r="844" spans="1:12" ht="18" customHeight="1">
      <c r="A844" s="16" t="s">
        <v>5249</v>
      </c>
      <c r="B844" s="17" t="s">
        <v>5250</v>
      </c>
      <c r="C844" s="18" t="s">
        <v>56</v>
      </c>
      <c r="D844" s="18" t="s">
        <v>5251</v>
      </c>
      <c r="E844" s="18" t="s">
        <v>5252</v>
      </c>
      <c r="F844" s="18" t="s">
        <v>350</v>
      </c>
      <c r="G844" s="18" t="s">
        <v>60</v>
      </c>
      <c r="H844" s="18" t="s">
        <v>583</v>
      </c>
      <c r="I844" s="18" t="s">
        <v>5253</v>
      </c>
      <c r="J844" s="18" t="s">
        <v>5254</v>
      </c>
      <c r="K844" s="18" t="s">
        <v>2664</v>
      </c>
      <c r="L844" s="19">
        <v>42090</v>
      </c>
    </row>
    <row r="845" spans="1:12" ht="18" customHeight="1">
      <c r="A845" s="16" t="s">
        <v>5255</v>
      </c>
      <c r="B845" s="17"/>
      <c r="C845" s="18" t="s">
        <v>56</v>
      </c>
      <c r="D845" s="18" t="s">
        <v>5256</v>
      </c>
      <c r="E845" s="18" t="s">
        <v>5257</v>
      </c>
      <c r="F845" s="18"/>
      <c r="G845" s="18" t="s">
        <v>60</v>
      </c>
      <c r="H845" s="18" t="s">
        <v>253</v>
      </c>
      <c r="I845" s="18" t="s">
        <v>5258</v>
      </c>
      <c r="J845" s="18" t="s">
        <v>3937</v>
      </c>
      <c r="K845" s="18" t="s">
        <v>1277</v>
      </c>
      <c r="L845" s="19" t="s">
        <v>3938</v>
      </c>
    </row>
    <row r="846" spans="1:12" ht="18" customHeight="1">
      <c r="A846" s="16" t="s">
        <v>5259</v>
      </c>
      <c r="B846" s="17"/>
      <c r="C846" s="18" t="s">
        <v>56</v>
      </c>
      <c r="D846" s="18" t="s">
        <v>5260</v>
      </c>
      <c r="E846" s="18" t="s">
        <v>5261</v>
      </c>
      <c r="F846" s="18" t="s">
        <v>5262</v>
      </c>
      <c r="G846" s="18" t="s">
        <v>60</v>
      </c>
      <c r="H846" s="18" t="s">
        <v>253</v>
      </c>
      <c r="I846" s="18" t="s">
        <v>5263</v>
      </c>
      <c r="J846" s="18"/>
      <c r="K846" s="18"/>
      <c r="L846" s="19"/>
    </row>
    <row r="847" spans="1:12" ht="18" customHeight="1">
      <c r="A847" s="16" t="s">
        <v>5264</v>
      </c>
      <c r="B847" s="17"/>
      <c r="C847" s="18" t="s">
        <v>56</v>
      </c>
      <c r="D847" s="18" t="s">
        <v>5265</v>
      </c>
      <c r="E847" s="18" t="s">
        <v>5266</v>
      </c>
      <c r="F847" s="18" t="s">
        <v>5262</v>
      </c>
      <c r="G847" s="18" t="s">
        <v>60</v>
      </c>
      <c r="H847" s="18" t="s">
        <v>253</v>
      </c>
      <c r="I847" s="18" t="s">
        <v>5267</v>
      </c>
      <c r="J847" s="18"/>
      <c r="K847" s="18"/>
      <c r="L847" s="19"/>
    </row>
    <row r="848" spans="1:12" ht="18" customHeight="1">
      <c r="A848" s="16" t="s">
        <v>5268</v>
      </c>
      <c r="B848" s="17"/>
      <c r="C848" s="18" t="s">
        <v>56</v>
      </c>
      <c r="D848" s="18" t="s">
        <v>4031</v>
      </c>
      <c r="E848" s="18" t="s">
        <v>5269</v>
      </c>
      <c r="F848" s="18" t="s">
        <v>5262</v>
      </c>
      <c r="G848" s="18" t="s">
        <v>60</v>
      </c>
      <c r="H848" s="18" t="s">
        <v>253</v>
      </c>
      <c r="I848" s="18" t="s">
        <v>5270</v>
      </c>
      <c r="J848" s="18"/>
      <c r="K848" s="18"/>
      <c r="L848" s="19"/>
    </row>
    <row r="849" spans="1:12" ht="18" customHeight="1">
      <c r="A849" s="16" t="s">
        <v>5271</v>
      </c>
      <c r="B849" s="17"/>
      <c r="C849" s="18" t="s">
        <v>56</v>
      </c>
      <c r="D849" s="18" t="s">
        <v>5272</v>
      </c>
      <c r="E849" s="18" t="s">
        <v>5273</v>
      </c>
      <c r="F849" s="18" t="s">
        <v>5262</v>
      </c>
      <c r="G849" s="18" t="s">
        <v>60</v>
      </c>
      <c r="H849" s="18" t="s">
        <v>253</v>
      </c>
      <c r="I849" s="18" t="s">
        <v>5274</v>
      </c>
      <c r="J849" s="18"/>
      <c r="K849" s="18"/>
      <c r="L849" s="19"/>
    </row>
    <row r="850" spans="1:12" ht="18" customHeight="1">
      <c r="A850" s="16" t="s">
        <v>5275</v>
      </c>
      <c r="B850" s="17"/>
      <c r="C850" s="18" t="s">
        <v>56</v>
      </c>
      <c r="D850" s="18" t="s">
        <v>5276</v>
      </c>
      <c r="E850" s="18" t="s">
        <v>5277</v>
      </c>
      <c r="F850" s="18" t="s">
        <v>5262</v>
      </c>
      <c r="G850" s="18" t="s">
        <v>60</v>
      </c>
      <c r="H850" s="18" t="s">
        <v>253</v>
      </c>
      <c r="I850" s="18" t="s">
        <v>5278</v>
      </c>
      <c r="J850" s="18"/>
      <c r="K850" s="18"/>
      <c r="L850" s="19"/>
    </row>
    <row r="851" spans="1:12" ht="18" customHeight="1">
      <c r="A851" s="16" t="s">
        <v>5279</v>
      </c>
      <c r="B851" s="17" t="s">
        <v>5280</v>
      </c>
      <c r="C851" s="18" t="s">
        <v>56</v>
      </c>
      <c r="D851" s="18" t="s">
        <v>5281</v>
      </c>
      <c r="E851" s="18" t="s">
        <v>5282</v>
      </c>
      <c r="F851" s="18" t="s">
        <v>350</v>
      </c>
      <c r="G851" s="18" t="s">
        <v>60</v>
      </c>
      <c r="H851" s="18" t="s">
        <v>253</v>
      </c>
      <c r="I851" s="18" t="s">
        <v>5283</v>
      </c>
      <c r="J851" s="18" t="s">
        <v>5284</v>
      </c>
      <c r="K851" s="18" t="s">
        <v>281</v>
      </c>
      <c r="L851" s="19" t="s">
        <v>2043</v>
      </c>
    </row>
    <row r="852" spans="1:12" ht="18" customHeight="1">
      <c r="A852" s="16" t="s">
        <v>5285</v>
      </c>
      <c r="B852" s="17" t="s">
        <v>5286</v>
      </c>
      <c r="C852" s="18" t="s">
        <v>5287</v>
      </c>
      <c r="D852" s="18" t="s">
        <v>5288</v>
      </c>
      <c r="E852" s="18" t="s">
        <v>5289</v>
      </c>
      <c r="F852" s="18" t="s">
        <v>2547</v>
      </c>
      <c r="G852" s="18" t="s">
        <v>237</v>
      </c>
      <c r="H852" s="18" t="s">
        <v>1186</v>
      </c>
      <c r="I852" s="18" t="s">
        <v>5290</v>
      </c>
      <c r="J852" s="18" t="s">
        <v>5291</v>
      </c>
      <c r="K852" s="18" t="s">
        <v>5292</v>
      </c>
      <c r="L852" s="19">
        <v>59780</v>
      </c>
    </row>
    <row r="853" spans="1:12" ht="18" customHeight="1">
      <c r="A853" s="16" t="s">
        <v>5293</v>
      </c>
      <c r="B853" s="17" t="s">
        <v>5294</v>
      </c>
      <c r="C853" s="18" t="s">
        <v>5295</v>
      </c>
      <c r="D853" s="18" t="s">
        <v>5296</v>
      </c>
      <c r="E853" s="18" t="s">
        <v>5297</v>
      </c>
      <c r="F853" s="18" t="s">
        <v>2547</v>
      </c>
      <c r="G853" s="18" t="s">
        <v>237</v>
      </c>
      <c r="H853" s="18" t="s">
        <v>197</v>
      </c>
      <c r="I853" s="18" t="s">
        <v>5298</v>
      </c>
      <c r="J853" s="18" t="s">
        <v>5299</v>
      </c>
      <c r="K853" s="18" t="s">
        <v>330</v>
      </c>
      <c r="L853" s="19">
        <v>85294</v>
      </c>
    </row>
    <row r="854" spans="1:12" ht="18" customHeight="1">
      <c r="A854" s="16" t="s">
        <v>5300</v>
      </c>
      <c r="B854" s="17" t="s">
        <v>5301</v>
      </c>
      <c r="C854" s="18" t="s">
        <v>5302</v>
      </c>
      <c r="D854" s="18" t="s">
        <v>5303</v>
      </c>
      <c r="E854" s="18" t="s">
        <v>5304</v>
      </c>
      <c r="F854" s="18" t="s">
        <v>2547</v>
      </c>
      <c r="G854" s="18" t="s">
        <v>237</v>
      </c>
      <c r="H854" s="18" t="s">
        <v>128</v>
      </c>
      <c r="I854" s="18" t="s">
        <v>5305</v>
      </c>
      <c r="J854" s="18" t="s">
        <v>5306</v>
      </c>
      <c r="K854" s="18" t="s">
        <v>5307</v>
      </c>
      <c r="L854" s="19">
        <v>36970</v>
      </c>
    </row>
    <row r="855" spans="1:12" ht="18" customHeight="1">
      <c r="A855" s="16" t="s">
        <v>5308</v>
      </c>
      <c r="B855" s="17" t="s">
        <v>5309</v>
      </c>
      <c r="C855" s="18" t="s">
        <v>5310</v>
      </c>
      <c r="D855" s="18" t="s">
        <v>5311</v>
      </c>
      <c r="E855" s="18" t="s">
        <v>5312</v>
      </c>
      <c r="F855" s="18" t="s">
        <v>2547</v>
      </c>
      <c r="G855" s="18" t="s">
        <v>237</v>
      </c>
      <c r="H855" s="18" t="s">
        <v>213</v>
      </c>
      <c r="I855" s="18" t="s">
        <v>5305</v>
      </c>
      <c r="J855" s="18" t="s">
        <v>5313</v>
      </c>
      <c r="K855" s="18" t="s">
        <v>5307</v>
      </c>
      <c r="L855" s="19">
        <v>87760</v>
      </c>
    </row>
    <row r="856" spans="1:12" ht="18" customHeight="1">
      <c r="A856" s="16" t="s">
        <v>5314</v>
      </c>
      <c r="B856" s="17" t="s">
        <v>5315</v>
      </c>
      <c r="C856" s="18" t="s">
        <v>5316</v>
      </c>
      <c r="D856" s="18" t="s">
        <v>5317</v>
      </c>
      <c r="E856" s="18" t="s">
        <v>5318</v>
      </c>
      <c r="F856" s="18" t="s">
        <v>2547</v>
      </c>
      <c r="G856" s="18" t="s">
        <v>237</v>
      </c>
      <c r="H856" s="18" t="s">
        <v>128</v>
      </c>
      <c r="I856" s="18" t="s">
        <v>5319</v>
      </c>
      <c r="J856" s="18" t="s">
        <v>5320</v>
      </c>
      <c r="K856" s="18" t="s">
        <v>5321</v>
      </c>
      <c r="L856" s="19">
        <v>38650</v>
      </c>
    </row>
    <row r="857" spans="1:12" ht="18" customHeight="1">
      <c r="A857" s="16" t="s">
        <v>5322</v>
      </c>
      <c r="B857" s="17" t="s">
        <v>5323</v>
      </c>
      <c r="C857" s="18" t="s">
        <v>5324</v>
      </c>
      <c r="D857" s="18" t="s">
        <v>5325</v>
      </c>
      <c r="E857" s="18" t="s">
        <v>5326</v>
      </c>
      <c r="F857" s="18" t="s">
        <v>2547</v>
      </c>
      <c r="G857" s="18" t="s">
        <v>237</v>
      </c>
      <c r="H857" s="18" t="s">
        <v>91</v>
      </c>
      <c r="I857" s="18" t="s">
        <v>5327</v>
      </c>
      <c r="J857" s="18" t="s">
        <v>5328</v>
      </c>
      <c r="K857" s="18" t="s">
        <v>5329</v>
      </c>
      <c r="L857" s="19">
        <v>30585</v>
      </c>
    </row>
    <row r="858" spans="1:12" ht="18" customHeight="1">
      <c r="A858" s="16" t="s">
        <v>5330</v>
      </c>
      <c r="B858" s="17" t="s">
        <v>5331</v>
      </c>
      <c r="C858" s="18" t="s">
        <v>5332</v>
      </c>
      <c r="D858" s="18" t="s">
        <v>5333</v>
      </c>
      <c r="E858" s="18" t="s">
        <v>5334</v>
      </c>
      <c r="F858" s="18" t="s">
        <v>2547</v>
      </c>
      <c r="G858" s="18" t="s">
        <v>237</v>
      </c>
      <c r="H858" s="18" t="s">
        <v>1153</v>
      </c>
      <c r="I858" s="18" t="s">
        <v>5335</v>
      </c>
      <c r="J858" s="18" t="s">
        <v>5336</v>
      </c>
      <c r="K858" s="18" t="s">
        <v>5337</v>
      </c>
      <c r="L858" s="19">
        <v>68420</v>
      </c>
    </row>
    <row r="859" spans="1:12" ht="18" customHeight="1">
      <c r="A859" s="16" t="s">
        <v>5338</v>
      </c>
      <c r="B859" s="17" t="s">
        <v>5339</v>
      </c>
      <c r="C859" s="18" t="s">
        <v>5340</v>
      </c>
      <c r="D859" s="18" t="s">
        <v>5341</v>
      </c>
      <c r="E859" s="18" t="s">
        <v>5342</v>
      </c>
      <c r="F859" s="18" t="s">
        <v>2547</v>
      </c>
      <c r="G859" s="18" t="s">
        <v>237</v>
      </c>
      <c r="H859" s="18" t="s">
        <v>583</v>
      </c>
      <c r="I859" s="18" t="s">
        <v>5343</v>
      </c>
      <c r="J859" s="18" t="s">
        <v>5344</v>
      </c>
      <c r="K859" s="18" t="s">
        <v>5345</v>
      </c>
      <c r="L859" s="19">
        <v>42500</v>
      </c>
    </row>
    <row r="860" spans="1:12" ht="18" customHeight="1">
      <c r="A860" s="16" t="s">
        <v>5346</v>
      </c>
      <c r="B860" s="17" t="s">
        <v>5347</v>
      </c>
      <c r="C860" s="18" t="s">
        <v>5348</v>
      </c>
      <c r="D860" s="18" t="s">
        <v>5349</v>
      </c>
      <c r="E860" s="18" t="s">
        <v>5350</v>
      </c>
      <c r="F860" s="18" t="s">
        <v>2547</v>
      </c>
      <c r="G860" s="18" t="s">
        <v>237</v>
      </c>
      <c r="H860" s="18" t="s">
        <v>99</v>
      </c>
      <c r="I860" s="18" t="s">
        <v>5351</v>
      </c>
      <c r="J860" s="18" t="s">
        <v>5352</v>
      </c>
      <c r="K860" s="18" t="s">
        <v>5353</v>
      </c>
      <c r="L860" s="19">
        <v>31690</v>
      </c>
    </row>
    <row r="861" spans="1:12" ht="18" customHeight="1">
      <c r="A861" s="16" t="s">
        <v>5354</v>
      </c>
      <c r="B861" s="17" t="s">
        <v>5355</v>
      </c>
      <c r="C861" s="18" t="s">
        <v>5356</v>
      </c>
      <c r="D861" s="18" t="s">
        <v>5357</v>
      </c>
      <c r="E861" s="18" t="s">
        <v>5358</v>
      </c>
      <c r="F861" s="18" t="s">
        <v>2547</v>
      </c>
      <c r="G861" s="18" t="s">
        <v>237</v>
      </c>
      <c r="H861" s="18" t="s">
        <v>197</v>
      </c>
      <c r="I861" s="18" t="s">
        <v>5359</v>
      </c>
      <c r="J861" s="18" t="s">
        <v>5360</v>
      </c>
      <c r="K861" s="18" t="s">
        <v>5361</v>
      </c>
      <c r="L861" s="19">
        <v>84200</v>
      </c>
    </row>
    <row r="862" spans="1:12" ht="18" customHeight="1">
      <c r="A862" s="16" t="s">
        <v>5362</v>
      </c>
      <c r="B862" s="17" t="s">
        <v>5363</v>
      </c>
      <c r="C862" s="18" t="s">
        <v>5364</v>
      </c>
      <c r="D862" s="18" t="s">
        <v>5365</v>
      </c>
      <c r="E862" s="18" t="s">
        <v>5366</v>
      </c>
      <c r="F862" s="18" t="s">
        <v>2547</v>
      </c>
      <c r="G862" s="18" t="s">
        <v>237</v>
      </c>
      <c r="H862" s="18" t="s">
        <v>504</v>
      </c>
      <c r="I862" s="18" t="s">
        <v>5367</v>
      </c>
      <c r="J862" s="18" t="s">
        <v>5368</v>
      </c>
      <c r="K862" s="18" t="s">
        <v>5369</v>
      </c>
      <c r="L862" s="19">
        <v>81310</v>
      </c>
    </row>
    <row r="863" spans="1:12" ht="18" customHeight="1">
      <c r="A863" s="16" t="s">
        <v>5370</v>
      </c>
      <c r="B863" s="17" t="s">
        <v>5371</v>
      </c>
      <c r="C863" s="18" t="s">
        <v>5372</v>
      </c>
      <c r="D863" s="18" t="s">
        <v>5373</v>
      </c>
      <c r="E863" s="18" t="s">
        <v>5374</v>
      </c>
      <c r="F863" s="18" t="s">
        <v>2547</v>
      </c>
      <c r="G863" s="18" t="s">
        <v>237</v>
      </c>
      <c r="H863" s="18" t="s">
        <v>152</v>
      </c>
      <c r="I863" s="18" t="s">
        <v>5375</v>
      </c>
      <c r="J863" s="18" t="s">
        <v>5376</v>
      </c>
      <c r="K863" s="18" t="s">
        <v>5377</v>
      </c>
      <c r="L863" s="19">
        <v>63900</v>
      </c>
    </row>
    <row r="864" spans="1:12" ht="18" customHeight="1">
      <c r="A864" s="16" t="s">
        <v>5378</v>
      </c>
      <c r="B864" s="17" t="s">
        <v>5379</v>
      </c>
      <c r="C864" s="18" t="s">
        <v>5380</v>
      </c>
      <c r="D864" s="18" t="s">
        <v>5381</v>
      </c>
      <c r="E864" s="18" t="s">
        <v>5382</v>
      </c>
      <c r="F864" s="18" t="s">
        <v>2547</v>
      </c>
      <c r="G864" s="18" t="s">
        <v>237</v>
      </c>
      <c r="H864" s="18" t="s">
        <v>632</v>
      </c>
      <c r="I864" s="18" t="s">
        <v>5383</v>
      </c>
      <c r="J864" s="18" t="s">
        <v>5384</v>
      </c>
      <c r="K864" s="18" t="s">
        <v>5385</v>
      </c>
      <c r="L864" s="19">
        <v>45900</v>
      </c>
    </row>
    <row r="865" spans="1:12" ht="18" customHeight="1">
      <c r="A865" s="16" t="s">
        <v>5386</v>
      </c>
      <c r="B865" s="17" t="s">
        <v>5387</v>
      </c>
      <c r="C865" s="18" t="s">
        <v>5388</v>
      </c>
      <c r="D865" s="18" t="s">
        <v>5389</v>
      </c>
      <c r="E865" s="18" t="s">
        <v>5390</v>
      </c>
      <c r="F865" s="18" t="s">
        <v>2547</v>
      </c>
      <c r="G865" s="18" t="s">
        <v>237</v>
      </c>
      <c r="H865" s="18" t="s">
        <v>136</v>
      </c>
      <c r="I865" s="18" t="s">
        <v>5391</v>
      </c>
      <c r="J865" s="18" t="s">
        <v>5392</v>
      </c>
      <c r="K865" s="18" t="s">
        <v>5393</v>
      </c>
      <c r="L865" s="19">
        <v>40730</v>
      </c>
    </row>
    <row r="866" spans="1:12" ht="18" customHeight="1">
      <c r="A866" s="16" t="s">
        <v>5394</v>
      </c>
      <c r="B866" s="17" t="s">
        <v>5395</v>
      </c>
      <c r="C866" s="18" t="s">
        <v>5396</v>
      </c>
      <c r="D866" s="18" t="s">
        <v>5397</v>
      </c>
      <c r="E866" s="18" t="s">
        <v>5398</v>
      </c>
      <c r="F866" s="18" t="s">
        <v>2547</v>
      </c>
      <c r="G866" s="18" t="s">
        <v>237</v>
      </c>
      <c r="H866" s="18" t="s">
        <v>616</v>
      </c>
      <c r="I866" s="18" t="s">
        <v>5399</v>
      </c>
      <c r="J866" s="18" t="s">
        <v>5400</v>
      </c>
      <c r="K866" s="18" t="s">
        <v>5401</v>
      </c>
      <c r="L866" s="19">
        <v>92730</v>
      </c>
    </row>
    <row r="867" spans="1:12" ht="18" customHeight="1">
      <c r="A867" s="16" t="s">
        <v>5402</v>
      </c>
      <c r="B867" s="17" t="s">
        <v>5403</v>
      </c>
      <c r="C867" s="18" t="s">
        <v>5404</v>
      </c>
      <c r="D867" s="18" t="s">
        <v>5405</v>
      </c>
      <c r="E867" s="18" t="s">
        <v>5406</v>
      </c>
      <c r="F867" s="18" t="s">
        <v>2547</v>
      </c>
      <c r="G867" s="18" t="s">
        <v>237</v>
      </c>
      <c r="H867" s="18" t="s">
        <v>197</v>
      </c>
      <c r="I867" s="18" t="s">
        <v>5407</v>
      </c>
      <c r="J867" s="18" t="s">
        <v>5408</v>
      </c>
      <c r="K867" s="18" t="s">
        <v>5409</v>
      </c>
      <c r="L867" s="19">
        <v>85287</v>
      </c>
    </row>
    <row r="868" spans="1:12" ht="18" customHeight="1">
      <c r="A868" s="16" t="s">
        <v>5410</v>
      </c>
      <c r="B868" s="17" t="s">
        <v>5411</v>
      </c>
      <c r="C868" s="18" t="s">
        <v>5412</v>
      </c>
      <c r="D868" s="18" t="s">
        <v>5413</v>
      </c>
      <c r="E868" s="18" t="s">
        <v>5414</v>
      </c>
      <c r="F868" s="18" t="s">
        <v>2547</v>
      </c>
      <c r="G868" s="18" t="s">
        <v>237</v>
      </c>
      <c r="H868" s="18" t="s">
        <v>213</v>
      </c>
      <c r="I868" s="18" t="s">
        <v>5415</v>
      </c>
      <c r="J868" s="18" t="s">
        <v>5416</v>
      </c>
      <c r="K868" s="18" t="s">
        <v>5417</v>
      </c>
      <c r="L868" s="19">
        <v>89600</v>
      </c>
    </row>
    <row r="869" spans="1:12" ht="18" customHeight="1">
      <c r="A869" s="16" t="s">
        <v>5418</v>
      </c>
      <c r="B869" s="17" t="s">
        <v>5419</v>
      </c>
      <c r="C869" s="18" t="s">
        <v>5420</v>
      </c>
      <c r="D869" s="18" t="s">
        <v>5421</v>
      </c>
      <c r="E869" s="18" t="s">
        <v>5422</v>
      </c>
      <c r="F869" s="18" t="s">
        <v>2547</v>
      </c>
      <c r="G869" s="18" t="s">
        <v>237</v>
      </c>
      <c r="H869" s="18" t="s">
        <v>616</v>
      </c>
      <c r="I869" s="18" t="s">
        <v>5423</v>
      </c>
      <c r="J869" s="18" t="s">
        <v>5424</v>
      </c>
      <c r="K869" s="18" t="s">
        <v>5425</v>
      </c>
      <c r="L869" s="19">
        <v>95259</v>
      </c>
    </row>
    <row r="870" spans="1:12" ht="18" customHeight="1">
      <c r="A870" s="16" t="s">
        <v>5426</v>
      </c>
      <c r="B870" s="17" t="s">
        <v>5427</v>
      </c>
      <c r="C870" s="18" t="s">
        <v>5428</v>
      </c>
      <c r="D870" s="18" t="s">
        <v>5429</v>
      </c>
      <c r="E870" s="18" t="s">
        <v>5430</v>
      </c>
      <c r="F870" s="18" t="s">
        <v>2547</v>
      </c>
      <c r="G870" s="18" t="s">
        <v>237</v>
      </c>
      <c r="H870" s="18" t="s">
        <v>351</v>
      </c>
      <c r="I870" s="18" t="s">
        <v>5431</v>
      </c>
      <c r="J870" s="18" t="s">
        <v>5432</v>
      </c>
      <c r="K870" s="18" t="s">
        <v>5433</v>
      </c>
      <c r="L870" s="19">
        <v>62640</v>
      </c>
    </row>
    <row r="871" spans="1:12" ht="18" customHeight="1">
      <c r="A871" s="16" t="s">
        <v>5434</v>
      </c>
      <c r="B871" s="17" t="s">
        <v>5435</v>
      </c>
      <c r="C871" s="18" t="s">
        <v>5436</v>
      </c>
      <c r="D871" s="18" t="s">
        <v>5437</v>
      </c>
      <c r="E871" s="18" t="s">
        <v>5438</v>
      </c>
      <c r="F871" s="18" t="s">
        <v>2547</v>
      </c>
      <c r="G871" s="18" t="s">
        <v>237</v>
      </c>
      <c r="H871" s="18" t="s">
        <v>175</v>
      </c>
      <c r="I871" s="18" t="s">
        <v>5439</v>
      </c>
      <c r="J871" s="18" t="s">
        <v>5440</v>
      </c>
      <c r="K871" s="18" t="s">
        <v>5441</v>
      </c>
      <c r="L871" s="19">
        <v>76850</v>
      </c>
    </row>
    <row r="872" spans="1:12" ht="18" customHeight="1">
      <c r="A872" s="16" t="s">
        <v>5442</v>
      </c>
      <c r="B872" s="17" t="s">
        <v>5443</v>
      </c>
      <c r="C872" s="18" t="s">
        <v>5444</v>
      </c>
      <c r="D872" s="18" t="s">
        <v>5445</v>
      </c>
      <c r="E872" s="18" t="s">
        <v>5446</v>
      </c>
      <c r="F872" s="18" t="s">
        <v>2547</v>
      </c>
      <c r="G872" s="18" t="s">
        <v>237</v>
      </c>
      <c r="H872" s="18" t="s">
        <v>632</v>
      </c>
      <c r="I872" s="18" t="s">
        <v>5447</v>
      </c>
      <c r="J872" s="18" t="s">
        <v>5448</v>
      </c>
      <c r="K872" s="18" t="s">
        <v>5449</v>
      </c>
      <c r="L872" s="19">
        <v>46600</v>
      </c>
    </row>
    <row r="873" spans="1:12" ht="18" customHeight="1">
      <c r="A873" s="16" t="s">
        <v>5450</v>
      </c>
      <c r="B873" s="17" t="s">
        <v>5451</v>
      </c>
      <c r="C873" s="18" t="s">
        <v>5452</v>
      </c>
      <c r="D873" s="18" t="s">
        <v>5453</v>
      </c>
      <c r="E873" s="18" t="s">
        <v>5454</v>
      </c>
      <c r="F873" s="18" t="s">
        <v>2547</v>
      </c>
      <c r="G873" s="18" t="s">
        <v>237</v>
      </c>
      <c r="H873" s="18" t="s">
        <v>294</v>
      </c>
      <c r="I873" s="18" t="s">
        <v>5455</v>
      </c>
      <c r="J873" s="18" t="s">
        <v>5456</v>
      </c>
      <c r="K873" s="18" t="s">
        <v>5457</v>
      </c>
      <c r="L873" s="19">
        <v>56900</v>
      </c>
    </row>
    <row r="874" spans="1:12" ht="18" customHeight="1">
      <c r="A874" s="16" t="s">
        <v>5458</v>
      </c>
      <c r="B874" s="17" t="s">
        <v>5459</v>
      </c>
      <c r="C874" s="18" t="s">
        <v>5460</v>
      </c>
      <c r="D874" s="18" t="s">
        <v>5461</v>
      </c>
      <c r="E874" s="18" t="s">
        <v>5462</v>
      </c>
      <c r="F874" s="18" t="s">
        <v>2547</v>
      </c>
      <c r="G874" s="18" t="s">
        <v>237</v>
      </c>
      <c r="H874" s="18" t="s">
        <v>504</v>
      </c>
      <c r="I874" s="18" t="s">
        <v>5463</v>
      </c>
      <c r="J874" s="18" t="s">
        <v>5464</v>
      </c>
      <c r="K874" s="18" t="s">
        <v>562</v>
      </c>
      <c r="L874" s="19">
        <v>81600</v>
      </c>
    </row>
    <row r="875" spans="1:12" ht="18" customHeight="1">
      <c r="A875" s="16" t="s">
        <v>5465</v>
      </c>
      <c r="B875" s="17" t="s">
        <v>5466</v>
      </c>
      <c r="C875" s="18" t="s">
        <v>5467</v>
      </c>
      <c r="D875" s="18" t="s">
        <v>5468</v>
      </c>
      <c r="E875" s="18" t="s">
        <v>5469</v>
      </c>
      <c r="F875" s="18" t="s">
        <v>2547</v>
      </c>
      <c r="G875" s="18" t="s">
        <v>237</v>
      </c>
      <c r="H875" s="18" t="s">
        <v>583</v>
      </c>
      <c r="I875" s="18" t="s">
        <v>5470</v>
      </c>
      <c r="J875" s="18" t="s">
        <v>5471</v>
      </c>
      <c r="K875" s="18" t="s">
        <v>5472</v>
      </c>
      <c r="L875" s="19">
        <v>43900</v>
      </c>
    </row>
    <row r="876" spans="1:12" ht="18" customHeight="1">
      <c r="A876" s="16" t="s">
        <v>5473</v>
      </c>
      <c r="B876" s="17" t="s">
        <v>5474</v>
      </c>
      <c r="C876" s="18" t="s">
        <v>5475</v>
      </c>
      <c r="D876" s="18" t="s">
        <v>5476</v>
      </c>
      <c r="E876" s="18" t="s">
        <v>5477</v>
      </c>
      <c r="F876" s="18" t="s">
        <v>2547</v>
      </c>
      <c r="G876" s="18" t="s">
        <v>237</v>
      </c>
      <c r="H876" s="18" t="s">
        <v>128</v>
      </c>
      <c r="I876" s="18" t="s">
        <v>5478</v>
      </c>
      <c r="J876" s="18" t="s">
        <v>5479</v>
      </c>
      <c r="K876" s="18" t="s">
        <v>5480</v>
      </c>
      <c r="L876" s="19">
        <v>38500</v>
      </c>
    </row>
    <row r="877" spans="1:12" ht="18" customHeight="1">
      <c r="A877" s="16" t="s">
        <v>5481</v>
      </c>
      <c r="B877" s="17" t="s">
        <v>5482</v>
      </c>
      <c r="C877" s="18" t="s">
        <v>5483</v>
      </c>
      <c r="D877" s="18" t="s">
        <v>5484</v>
      </c>
      <c r="E877" s="18" t="s">
        <v>5485</v>
      </c>
      <c r="F877" s="18" t="s">
        <v>2547</v>
      </c>
      <c r="G877" s="18" t="s">
        <v>237</v>
      </c>
      <c r="H877" s="18" t="s">
        <v>128</v>
      </c>
      <c r="I877" s="18" t="s">
        <v>5486</v>
      </c>
      <c r="J877" s="18" t="s">
        <v>5487</v>
      </c>
      <c r="K877" s="18" t="s">
        <v>128</v>
      </c>
      <c r="L877" s="19">
        <v>38160</v>
      </c>
    </row>
    <row r="878" spans="1:12" ht="18" customHeight="1">
      <c r="A878" s="16" t="s">
        <v>5488</v>
      </c>
      <c r="B878" s="17" t="s">
        <v>5489</v>
      </c>
      <c r="C878" s="18" t="s">
        <v>5490</v>
      </c>
      <c r="D878" s="18" t="s">
        <v>5491</v>
      </c>
      <c r="E878" s="18" t="s">
        <v>5492</v>
      </c>
      <c r="F878" s="18" t="s">
        <v>2547</v>
      </c>
      <c r="G878" s="18" t="s">
        <v>237</v>
      </c>
      <c r="H878" s="18" t="s">
        <v>221</v>
      </c>
      <c r="I878" s="18" t="s">
        <v>5493</v>
      </c>
      <c r="J878" s="18" t="s">
        <v>5494</v>
      </c>
      <c r="K878" s="18" t="s">
        <v>5495</v>
      </c>
      <c r="L878" s="19">
        <v>90360</v>
      </c>
    </row>
    <row r="879" spans="1:12" ht="18" customHeight="1">
      <c r="A879" s="16" t="s">
        <v>5496</v>
      </c>
      <c r="B879" s="17" t="s">
        <v>5497</v>
      </c>
      <c r="C879" s="18" t="s">
        <v>5498</v>
      </c>
      <c r="D879" s="18" t="s">
        <v>5499</v>
      </c>
      <c r="E879" s="18" t="s">
        <v>5500</v>
      </c>
      <c r="F879" s="18" t="s">
        <v>2547</v>
      </c>
      <c r="G879" s="18" t="s">
        <v>237</v>
      </c>
      <c r="H879" s="18" t="s">
        <v>136</v>
      </c>
      <c r="I879" s="18" t="s">
        <v>5501</v>
      </c>
      <c r="J879" s="18" t="s">
        <v>5502</v>
      </c>
      <c r="K879" s="18" t="s">
        <v>136</v>
      </c>
      <c r="L879" s="19">
        <v>40536</v>
      </c>
    </row>
    <row r="880" spans="1:12" ht="18" customHeight="1">
      <c r="A880" s="16" t="s">
        <v>5503</v>
      </c>
      <c r="B880" s="17" t="s">
        <v>5504</v>
      </c>
      <c r="C880" s="18" t="s">
        <v>5505</v>
      </c>
      <c r="D880" s="18" t="s">
        <v>5506</v>
      </c>
      <c r="E880" s="18" t="s">
        <v>5507</v>
      </c>
      <c r="F880" s="18" t="s">
        <v>2547</v>
      </c>
      <c r="G880" s="18" t="s">
        <v>237</v>
      </c>
      <c r="H880" s="18" t="s">
        <v>136</v>
      </c>
      <c r="I880" s="18" t="s">
        <v>5508</v>
      </c>
      <c r="J880" s="18" t="s">
        <v>5509</v>
      </c>
      <c r="K880" s="18" t="s">
        <v>5510</v>
      </c>
      <c r="L880" s="19">
        <v>40500</v>
      </c>
    </row>
    <row r="881" spans="1:12" ht="18" customHeight="1">
      <c r="A881" s="16" t="s">
        <v>5511</v>
      </c>
      <c r="B881" s="17" t="s">
        <v>5512</v>
      </c>
      <c r="C881" s="18" t="s">
        <v>5513</v>
      </c>
      <c r="D881" s="18" t="s">
        <v>5514</v>
      </c>
      <c r="E881" s="18" t="s">
        <v>5515</v>
      </c>
      <c r="F881" s="18" t="s">
        <v>2547</v>
      </c>
      <c r="G881" s="18" t="s">
        <v>237</v>
      </c>
      <c r="H881" s="18" t="s">
        <v>1186</v>
      </c>
      <c r="I881" s="18" t="s">
        <v>5516</v>
      </c>
      <c r="J881" s="18" t="s">
        <v>5517</v>
      </c>
      <c r="K881" s="18" t="s">
        <v>5518</v>
      </c>
      <c r="L881" s="19">
        <v>61830</v>
      </c>
    </row>
    <row r="882" spans="1:12" ht="18" customHeight="1">
      <c r="A882" s="16" t="s">
        <v>5519</v>
      </c>
      <c r="B882" s="17" t="s">
        <v>5520</v>
      </c>
      <c r="C882" s="18" t="s">
        <v>5521</v>
      </c>
      <c r="D882" s="18" t="s">
        <v>5522</v>
      </c>
      <c r="E882" s="18" t="s">
        <v>5523</v>
      </c>
      <c r="F882" s="18" t="s">
        <v>2547</v>
      </c>
      <c r="G882" s="18" t="s">
        <v>237</v>
      </c>
      <c r="H882" s="18" t="s">
        <v>91</v>
      </c>
      <c r="I882" s="18" t="s">
        <v>5524</v>
      </c>
      <c r="J882" s="18" t="s">
        <v>5525</v>
      </c>
      <c r="K882" s="18" t="s">
        <v>5526</v>
      </c>
      <c r="L882" s="19">
        <v>30450</v>
      </c>
    </row>
    <row r="883" spans="1:12" ht="18" customHeight="1">
      <c r="A883" s="16" t="s">
        <v>5527</v>
      </c>
      <c r="B883" s="17" t="s">
        <v>5528</v>
      </c>
      <c r="C883" s="18" t="s">
        <v>5529</v>
      </c>
      <c r="D883" s="18" t="s">
        <v>5530</v>
      </c>
      <c r="E883" s="18" t="s">
        <v>5531</v>
      </c>
      <c r="F883" s="18" t="s">
        <v>2547</v>
      </c>
      <c r="G883" s="18" t="s">
        <v>237</v>
      </c>
      <c r="H883" s="18" t="s">
        <v>1186</v>
      </c>
      <c r="I883" s="18" t="s">
        <v>5532</v>
      </c>
      <c r="J883" s="18" t="s">
        <v>5533</v>
      </c>
      <c r="K883" s="18" t="s">
        <v>5534</v>
      </c>
      <c r="L883" s="19">
        <v>60920</v>
      </c>
    </row>
    <row r="884" spans="1:12" ht="18" customHeight="1">
      <c r="A884" s="16" t="s">
        <v>5535</v>
      </c>
      <c r="B884" s="17" t="s">
        <v>5536</v>
      </c>
      <c r="C884" s="18" t="s">
        <v>5537</v>
      </c>
      <c r="D884" s="18" t="s">
        <v>5538</v>
      </c>
      <c r="E884" s="18" t="s">
        <v>5539</v>
      </c>
      <c r="F884" s="18" t="s">
        <v>2547</v>
      </c>
      <c r="G884" s="18" t="s">
        <v>237</v>
      </c>
      <c r="H884" s="18" t="s">
        <v>1153</v>
      </c>
      <c r="I884" s="18" t="s">
        <v>5540</v>
      </c>
      <c r="J884" s="18" t="s">
        <v>5541</v>
      </c>
      <c r="K884" s="18" t="s">
        <v>5542</v>
      </c>
      <c r="L884" s="19">
        <v>69600</v>
      </c>
    </row>
    <row r="885" spans="1:12" ht="18" customHeight="1">
      <c r="A885" s="16" t="s">
        <v>5543</v>
      </c>
      <c r="B885" s="17" t="s">
        <v>5544</v>
      </c>
      <c r="C885" s="18" t="s">
        <v>5545</v>
      </c>
      <c r="D885" s="18" t="s">
        <v>5546</v>
      </c>
      <c r="E885" s="18" t="s">
        <v>5547</v>
      </c>
      <c r="F885" s="18" t="s">
        <v>2547</v>
      </c>
      <c r="G885" s="18" t="s">
        <v>237</v>
      </c>
      <c r="H885" s="18" t="s">
        <v>632</v>
      </c>
      <c r="I885" s="18" t="s">
        <v>5548</v>
      </c>
      <c r="J885" s="18" t="s">
        <v>5549</v>
      </c>
      <c r="K885" s="18" t="s">
        <v>5550</v>
      </c>
      <c r="L885" s="19">
        <v>45860</v>
      </c>
    </row>
    <row r="886" spans="1:12" ht="18" customHeight="1">
      <c r="A886" s="16" t="s">
        <v>5551</v>
      </c>
      <c r="B886" s="17" t="s">
        <v>5552</v>
      </c>
      <c r="C886" s="18" t="s">
        <v>5553</v>
      </c>
      <c r="D886" s="18" t="s">
        <v>5554</v>
      </c>
      <c r="E886" s="18" t="s">
        <v>5555</v>
      </c>
      <c r="F886" s="18" t="s">
        <v>2547</v>
      </c>
      <c r="G886" s="18" t="s">
        <v>237</v>
      </c>
      <c r="H886" s="18" t="s">
        <v>294</v>
      </c>
      <c r="I886" s="18" t="s">
        <v>5556</v>
      </c>
      <c r="J886" s="18" t="s">
        <v>5557</v>
      </c>
      <c r="K886" s="18" t="s">
        <v>5558</v>
      </c>
      <c r="L886" s="19">
        <v>50450</v>
      </c>
    </row>
    <row r="887" spans="1:12" ht="18" customHeight="1">
      <c r="A887" s="16" t="s">
        <v>5559</v>
      </c>
      <c r="B887" s="17" t="s">
        <v>5560</v>
      </c>
      <c r="C887" s="18" t="s">
        <v>5561</v>
      </c>
      <c r="D887" s="18" t="s">
        <v>5562</v>
      </c>
      <c r="E887" s="18" t="s">
        <v>5563</v>
      </c>
      <c r="F887" s="18" t="s">
        <v>2547</v>
      </c>
      <c r="G887" s="18" t="s">
        <v>237</v>
      </c>
      <c r="H887" s="18" t="s">
        <v>136</v>
      </c>
      <c r="I887" s="18" t="s">
        <v>5564</v>
      </c>
      <c r="J887" s="18" t="s">
        <v>5565</v>
      </c>
      <c r="K887" s="18" t="s">
        <v>5566</v>
      </c>
      <c r="L887" s="19">
        <v>98200</v>
      </c>
    </row>
    <row r="888" spans="1:12" ht="18" customHeight="1">
      <c r="A888" s="16" t="s">
        <v>5567</v>
      </c>
      <c r="B888" s="17" t="s">
        <v>5568</v>
      </c>
      <c r="C888" s="18" t="s">
        <v>5569</v>
      </c>
      <c r="D888" s="18" t="s">
        <v>5570</v>
      </c>
      <c r="E888" s="18" t="s">
        <v>5571</v>
      </c>
      <c r="F888" s="18" t="s">
        <v>2547</v>
      </c>
      <c r="G888" s="18" t="s">
        <v>237</v>
      </c>
      <c r="H888" s="18" t="s">
        <v>190</v>
      </c>
      <c r="I888" s="18" t="s">
        <v>5572</v>
      </c>
      <c r="J888" s="18" t="s">
        <v>5573</v>
      </c>
      <c r="K888" s="18" t="s">
        <v>5574</v>
      </c>
      <c r="L888" s="19">
        <v>79930</v>
      </c>
    </row>
    <row r="889" spans="1:12" ht="18" customHeight="1">
      <c r="A889" s="16" t="s">
        <v>5575</v>
      </c>
      <c r="B889" s="17" t="s">
        <v>5576</v>
      </c>
      <c r="C889" s="18" t="s">
        <v>5577</v>
      </c>
      <c r="D889" s="18" t="s">
        <v>5578</v>
      </c>
      <c r="E889" s="18" t="s">
        <v>5579</v>
      </c>
      <c r="F889" s="18" t="s">
        <v>2547</v>
      </c>
      <c r="G889" s="18" t="s">
        <v>237</v>
      </c>
      <c r="H889" s="18" t="s">
        <v>136</v>
      </c>
      <c r="I889" s="18" t="s">
        <v>5580</v>
      </c>
      <c r="J889" s="18" t="s">
        <v>5581</v>
      </c>
      <c r="K889" s="18" t="s">
        <v>5131</v>
      </c>
      <c r="L889" s="19">
        <v>39200</v>
      </c>
    </row>
    <row r="890" spans="1:12" ht="18" customHeight="1">
      <c r="A890" s="16" t="s">
        <v>5582</v>
      </c>
      <c r="B890" s="17" t="s">
        <v>5583</v>
      </c>
      <c r="C890" s="18" t="s">
        <v>5584</v>
      </c>
      <c r="D890" s="18" t="s">
        <v>5585</v>
      </c>
      <c r="E890" s="18" t="s">
        <v>5586</v>
      </c>
      <c r="F890" s="18" t="s">
        <v>2547</v>
      </c>
      <c r="G890" s="18" t="s">
        <v>237</v>
      </c>
      <c r="H890" s="18" t="s">
        <v>175</v>
      </c>
      <c r="I890" s="18" t="s">
        <v>5587</v>
      </c>
      <c r="J890" s="18" t="s">
        <v>5588</v>
      </c>
      <c r="K890" s="18" t="s">
        <v>1142</v>
      </c>
      <c r="L890" s="19">
        <v>76080</v>
      </c>
    </row>
    <row r="891" spans="1:12" ht="18" customHeight="1">
      <c r="A891" s="16" t="s">
        <v>5589</v>
      </c>
      <c r="B891" s="17" t="s">
        <v>5590</v>
      </c>
      <c r="C891" s="18" t="s">
        <v>5591</v>
      </c>
      <c r="D891" s="18" t="s">
        <v>5592</v>
      </c>
      <c r="E891" s="18" t="s">
        <v>5593</v>
      </c>
      <c r="F891" s="18" t="s">
        <v>2547</v>
      </c>
      <c r="G891" s="18" t="s">
        <v>237</v>
      </c>
      <c r="H891" s="18" t="s">
        <v>197</v>
      </c>
      <c r="I891" s="18" t="s">
        <v>5594</v>
      </c>
      <c r="J891" s="18" t="s">
        <v>5595</v>
      </c>
      <c r="K891" s="18" t="s">
        <v>5596</v>
      </c>
      <c r="L891" s="19">
        <v>85281</v>
      </c>
    </row>
    <row r="892" spans="1:12" ht="18" customHeight="1">
      <c r="A892" s="16" t="s">
        <v>5597</v>
      </c>
      <c r="B892" s="17" t="s">
        <v>5598</v>
      </c>
      <c r="C892" s="18" t="s">
        <v>5599</v>
      </c>
      <c r="D892" s="18" t="s">
        <v>5600</v>
      </c>
      <c r="E892" s="18" t="s">
        <v>5601</v>
      </c>
      <c r="F892" s="18" t="s">
        <v>2547</v>
      </c>
      <c r="G892" s="18" t="s">
        <v>237</v>
      </c>
      <c r="H892" s="18" t="s">
        <v>504</v>
      </c>
      <c r="I892" s="18" t="s">
        <v>5602</v>
      </c>
      <c r="J892" s="18" t="s">
        <v>5603</v>
      </c>
      <c r="K892" s="18" t="s">
        <v>5604</v>
      </c>
      <c r="L892" s="19">
        <v>80500</v>
      </c>
    </row>
    <row r="893" spans="1:12" ht="18" customHeight="1">
      <c r="A893" s="16" t="s">
        <v>5605</v>
      </c>
      <c r="B893" s="17" t="s">
        <v>5606</v>
      </c>
      <c r="C893" s="18" t="s">
        <v>5607</v>
      </c>
      <c r="D893" s="18" t="s">
        <v>5608</v>
      </c>
      <c r="E893" s="18" t="s">
        <v>5609</v>
      </c>
      <c r="F893" s="18" t="s">
        <v>2547</v>
      </c>
      <c r="G893" s="18" t="s">
        <v>237</v>
      </c>
      <c r="H893" s="18" t="s">
        <v>205</v>
      </c>
      <c r="I893" s="18" t="s">
        <v>5610</v>
      </c>
      <c r="J893" s="18" t="s">
        <v>5611</v>
      </c>
      <c r="K893" s="18" t="s">
        <v>5612</v>
      </c>
      <c r="L893" s="19">
        <v>86930</v>
      </c>
    </row>
    <row r="894" spans="1:12" ht="18" customHeight="1">
      <c r="A894" s="16" t="s">
        <v>5613</v>
      </c>
      <c r="B894" s="17" t="s">
        <v>5614</v>
      </c>
      <c r="C894" s="18" t="s">
        <v>5615</v>
      </c>
      <c r="D894" s="18" t="s">
        <v>5616</v>
      </c>
      <c r="E894" s="18" t="s">
        <v>5617</v>
      </c>
      <c r="F894" s="18" t="s">
        <v>2547</v>
      </c>
      <c r="G894" s="18" t="s">
        <v>237</v>
      </c>
      <c r="H894" s="18" t="s">
        <v>91</v>
      </c>
      <c r="I894" s="18" t="s">
        <v>5618</v>
      </c>
      <c r="J894" s="18" t="s">
        <v>5619</v>
      </c>
      <c r="K894" s="18" t="s">
        <v>5620</v>
      </c>
      <c r="L894" s="19">
        <v>29770</v>
      </c>
    </row>
    <row r="895" spans="1:12" ht="18" customHeight="1">
      <c r="A895" s="16" t="s">
        <v>5621</v>
      </c>
      <c r="B895" s="17" t="s">
        <v>5622</v>
      </c>
      <c r="C895" s="18" t="s">
        <v>5623</v>
      </c>
      <c r="D895" s="18" t="s">
        <v>5624</v>
      </c>
      <c r="E895" s="18" t="s">
        <v>5625</v>
      </c>
      <c r="F895" s="18" t="s">
        <v>2547</v>
      </c>
      <c r="G895" s="18" t="s">
        <v>237</v>
      </c>
      <c r="H895" s="18" t="s">
        <v>197</v>
      </c>
      <c r="I895" s="18" t="s">
        <v>5626</v>
      </c>
      <c r="J895" s="18" t="s">
        <v>5627</v>
      </c>
      <c r="K895" s="18" t="s">
        <v>5628</v>
      </c>
      <c r="L895" s="19">
        <v>83600</v>
      </c>
    </row>
    <row r="896" spans="1:12" ht="18" customHeight="1">
      <c r="A896" s="16" t="s">
        <v>5629</v>
      </c>
      <c r="B896" s="17" t="s">
        <v>5630</v>
      </c>
      <c r="C896" s="18" t="s">
        <v>5631</v>
      </c>
      <c r="D896" s="18" t="s">
        <v>5632</v>
      </c>
      <c r="E896" s="18" t="s">
        <v>5633</v>
      </c>
      <c r="F896" s="18" t="s">
        <v>2547</v>
      </c>
      <c r="G896" s="18" t="s">
        <v>237</v>
      </c>
      <c r="H896" s="18" t="s">
        <v>91</v>
      </c>
      <c r="I896" s="18" t="s">
        <v>5634</v>
      </c>
      <c r="J896" s="18" t="s">
        <v>5635</v>
      </c>
      <c r="K896" s="18" t="s">
        <v>5636</v>
      </c>
      <c r="L896" s="19">
        <v>30890</v>
      </c>
    </row>
    <row r="897" spans="1:12" ht="18" customHeight="1">
      <c r="A897" s="16" t="s">
        <v>5637</v>
      </c>
      <c r="B897" s="17" t="s">
        <v>5638</v>
      </c>
      <c r="C897" s="18" t="s">
        <v>5639</v>
      </c>
      <c r="D897" s="18" t="s">
        <v>5640</v>
      </c>
      <c r="E897" s="18" t="s">
        <v>5641</v>
      </c>
      <c r="F897" s="18" t="s">
        <v>2547</v>
      </c>
      <c r="G897" s="18" t="s">
        <v>237</v>
      </c>
      <c r="H897" s="18" t="s">
        <v>160</v>
      </c>
      <c r="I897" s="18" t="s">
        <v>5642</v>
      </c>
      <c r="J897" s="18" t="s">
        <v>5643</v>
      </c>
      <c r="K897" s="18" t="s">
        <v>5644</v>
      </c>
      <c r="L897" s="19">
        <v>67485</v>
      </c>
    </row>
    <row r="898" spans="1:12" ht="18" customHeight="1">
      <c r="A898" s="16" t="s">
        <v>5645</v>
      </c>
      <c r="B898" s="17" t="s">
        <v>5646</v>
      </c>
      <c r="C898" s="18" t="s">
        <v>5647</v>
      </c>
      <c r="D898" s="18" t="s">
        <v>5648</v>
      </c>
      <c r="E898" s="18" t="s">
        <v>5649</v>
      </c>
      <c r="F898" s="18" t="s">
        <v>2547</v>
      </c>
      <c r="G898" s="18" t="s">
        <v>237</v>
      </c>
      <c r="H898" s="18" t="s">
        <v>175</v>
      </c>
      <c r="I898" s="18" t="s">
        <v>5650</v>
      </c>
      <c r="J898" s="18" t="s">
        <v>5651</v>
      </c>
      <c r="K898" s="18" t="s">
        <v>5652</v>
      </c>
      <c r="L898" s="19">
        <v>75600</v>
      </c>
    </row>
    <row r="899" spans="1:12" ht="18" customHeight="1">
      <c r="A899" s="16" t="s">
        <v>5653</v>
      </c>
      <c r="B899" s="17" t="s">
        <v>5654</v>
      </c>
      <c r="C899" s="18" t="s">
        <v>5655</v>
      </c>
      <c r="D899" s="18" t="s">
        <v>5656</v>
      </c>
      <c r="E899" s="18" t="s">
        <v>5657</v>
      </c>
      <c r="F899" s="18" t="s">
        <v>2547</v>
      </c>
      <c r="G899" s="18" t="s">
        <v>237</v>
      </c>
      <c r="H899" s="18" t="s">
        <v>84</v>
      </c>
      <c r="I899" s="18" t="s">
        <v>5658</v>
      </c>
      <c r="J899" s="18" t="s">
        <v>5659</v>
      </c>
      <c r="K899" s="18" t="s">
        <v>5660</v>
      </c>
      <c r="L899" s="19">
        <v>24900</v>
      </c>
    </row>
    <row r="900" spans="1:12" ht="18" customHeight="1">
      <c r="A900" s="16" t="s">
        <v>5661</v>
      </c>
      <c r="B900" s="17" t="s">
        <v>5662</v>
      </c>
      <c r="C900" s="18" t="s">
        <v>5663</v>
      </c>
      <c r="D900" s="18" t="s">
        <v>5664</v>
      </c>
      <c r="E900" s="18" t="s">
        <v>5665</v>
      </c>
      <c r="F900" s="18" t="s">
        <v>2547</v>
      </c>
      <c r="G900" s="18" t="s">
        <v>237</v>
      </c>
      <c r="H900" s="18" t="s">
        <v>221</v>
      </c>
      <c r="I900" s="18" t="s">
        <v>5666</v>
      </c>
      <c r="J900" s="18" t="s">
        <v>5667</v>
      </c>
      <c r="K900" s="18" t="s">
        <v>5668</v>
      </c>
      <c r="L900" s="19">
        <v>90500</v>
      </c>
    </row>
    <row r="901" spans="1:12" ht="18" customHeight="1">
      <c r="A901" s="16" t="s">
        <v>5669</v>
      </c>
      <c r="B901" s="17" t="s">
        <v>5670</v>
      </c>
      <c r="C901" s="18" t="s">
        <v>5671</v>
      </c>
      <c r="D901" s="18" t="s">
        <v>5672</v>
      </c>
      <c r="E901" s="18" t="s">
        <v>5673</v>
      </c>
      <c r="F901" s="18" t="s">
        <v>2547</v>
      </c>
      <c r="G901" s="18" t="s">
        <v>237</v>
      </c>
      <c r="H901" s="18" t="s">
        <v>61</v>
      </c>
      <c r="I901" s="18" t="s">
        <v>5674</v>
      </c>
      <c r="J901" s="18" t="s">
        <v>5675</v>
      </c>
      <c r="K901" s="18" t="s">
        <v>5676</v>
      </c>
      <c r="L901" s="19">
        <v>20800</v>
      </c>
    </row>
    <row r="902" spans="1:12" ht="18" customHeight="1">
      <c r="A902" s="16" t="s">
        <v>5677</v>
      </c>
      <c r="B902" s="17" t="s">
        <v>5678</v>
      </c>
      <c r="C902" s="18" t="s">
        <v>5679</v>
      </c>
      <c r="D902" s="18" t="s">
        <v>5680</v>
      </c>
      <c r="E902" s="18" t="s">
        <v>5681</v>
      </c>
      <c r="F902" s="18" t="s">
        <v>2547</v>
      </c>
      <c r="G902" s="18" t="s">
        <v>237</v>
      </c>
      <c r="H902" s="18" t="s">
        <v>197</v>
      </c>
      <c r="I902" s="18" t="s">
        <v>5682</v>
      </c>
      <c r="J902" s="18" t="s">
        <v>5683</v>
      </c>
      <c r="K902" s="18" t="s">
        <v>5684</v>
      </c>
      <c r="L902" s="19">
        <v>84620</v>
      </c>
    </row>
    <row r="903" spans="1:12" ht="18" customHeight="1">
      <c r="A903" s="16" t="s">
        <v>5685</v>
      </c>
      <c r="B903" s="17" t="s">
        <v>5686</v>
      </c>
      <c r="C903" s="18" t="s">
        <v>5687</v>
      </c>
      <c r="D903" s="18" t="s">
        <v>5688</v>
      </c>
      <c r="E903" s="18" t="s">
        <v>5689</v>
      </c>
      <c r="F903" s="18" t="s">
        <v>2547</v>
      </c>
      <c r="G903" s="18" t="s">
        <v>237</v>
      </c>
      <c r="H903" s="18" t="s">
        <v>121</v>
      </c>
      <c r="I903" s="18" t="s">
        <v>5690</v>
      </c>
      <c r="J903" s="18" t="s">
        <v>5691</v>
      </c>
      <c r="K903" s="18" t="s">
        <v>5692</v>
      </c>
      <c r="L903" s="19">
        <v>34541</v>
      </c>
    </row>
    <row r="904" spans="1:12" ht="18" customHeight="1">
      <c r="A904" s="16" t="s">
        <v>5693</v>
      </c>
      <c r="B904" s="17" t="s">
        <v>5694</v>
      </c>
      <c r="C904" s="18" t="s">
        <v>5695</v>
      </c>
      <c r="D904" s="18" t="s">
        <v>5696</v>
      </c>
      <c r="E904" s="18" t="s">
        <v>5697</v>
      </c>
      <c r="F904" s="18" t="s">
        <v>2547</v>
      </c>
      <c r="G904" s="18" t="s">
        <v>237</v>
      </c>
      <c r="H904" s="18" t="s">
        <v>294</v>
      </c>
      <c r="I904" s="18" t="s">
        <v>5698</v>
      </c>
      <c r="J904" s="18" t="s">
        <v>5699</v>
      </c>
      <c r="K904" s="18" t="s">
        <v>5700</v>
      </c>
      <c r="L904" s="19">
        <v>52700</v>
      </c>
    </row>
    <row r="905" spans="1:12" ht="18" customHeight="1">
      <c r="A905" s="16" t="s">
        <v>5701</v>
      </c>
      <c r="B905" s="17" t="s">
        <v>5702</v>
      </c>
      <c r="C905" s="18" t="s">
        <v>5703</v>
      </c>
      <c r="D905" s="18" t="s">
        <v>5704</v>
      </c>
      <c r="E905" s="18" t="s">
        <v>5705</v>
      </c>
      <c r="F905" s="18" t="s">
        <v>2547</v>
      </c>
      <c r="G905" s="18" t="s">
        <v>237</v>
      </c>
      <c r="H905" s="18" t="s">
        <v>190</v>
      </c>
      <c r="I905" s="18" t="s">
        <v>5706</v>
      </c>
      <c r="J905" s="18" t="s">
        <v>5707</v>
      </c>
      <c r="K905" s="18" t="s">
        <v>1983</v>
      </c>
      <c r="L905" s="19">
        <v>79380</v>
      </c>
    </row>
    <row r="906" spans="1:12" ht="18" customHeight="1">
      <c r="A906" s="16" t="s">
        <v>5708</v>
      </c>
      <c r="B906" s="17" t="s">
        <v>5709</v>
      </c>
      <c r="C906" s="18" t="s">
        <v>5710</v>
      </c>
      <c r="D906" s="18" t="s">
        <v>5711</v>
      </c>
      <c r="E906" s="18" t="s">
        <v>5712</v>
      </c>
      <c r="F906" s="18" t="s">
        <v>2547</v>
      </c>
      <c r="G906" s="18" t="s">
        <v>237</v>
      </c>
      <c r="H906" s="18" t="s">
        <v>106</v>
      </c>
      <c r="I906" s="18" t="s">
        <v>5713</v>
      </c>
      <c r="J906" s="18" t="s">
        <v>5714</v>
      </c>
      <c r="K906" s="18" t="s">
        <v>5715</v>
      </c>
      <c r="L906" s="19">
        <v>26530</v>
      </c>
    </row>
    <row r="907" spans="1:12" ht="18" customHeight="1">
      <c r="A907" s="16" t="s">
        <v>5716</v>
      </c>
      <c r="B907" s="17" t="s">
        <v>5717</v>
      </c>
      <c r="C907" s="18" t="s">
        <v>5718</v>
      </c>
      <c r="D907" s="18" t="s">
        <v>5719</v>
      </c>
      <c r="E907" s="18" t="s">
        <v>5720</v>
      </c>
      <c r="F907" s="18" t="s">
        <v>2547</v>
      </c>
      <c r="G907" s="18" t="s">
        <v>237</v>
      </c>
      <c r="H907" s="18" t="s">
        <v>160</v>
      </c>
      <c r="I907" s="18" t="s">
        <v>5721</v>
      </c>
      <c r="J907" s="18" t="s">
        <v>5722</v>
      </c>
      <c r="K907" s="18" t="s">
        <v>5723</v>
      </c>
      <c r="L907" s="19">
        <v>65030</v>
      </c>
    </row>
    <row r="908" spans="1:12" ht="18" customHeight="1">
      <c r="A908" s="16" t="s">
        <v>5724</v>
      </c>
      <c r="B908" s="17" t="s">
        <v>5725</v>
      </c>
      <c r="C908" s="18" t="s">
        <v>5726</v>
      </c>
      <c r="D908" s="18" t="s">
        <v>5727</v>
      </c>
      <c r="E908" s="18" t="s">
        <v>5728</v>
      </c>
      <c r="F908" s="18" t="s">
        <v>2547</v>
      </c>
      <c r="G908" s="18" t="s">
        <v>237</v>
      </c>
      <c r="H908" s="18" t="s">
        <v>99</v>
      </c>
      <c r="I908" s="18" t="s">
        <v>5729</v>
      </c>
      <c r="J908" s="18" t="s">
        <v>5730</v>
      </c>
      <c r="K908" s="18" t="s">
        <v>5731</v>
      </c>
      <c r="L908" s="19">
        <v>33778</v>
      </c>
    </row>
    <row r="909" spans="1:12" ht="18" customHeight="1">
      <c r="A909" s="16" t="s">
        <v>5732</v>
      </c>
      <c r="B909" s="17" t="s">
        <v>5733</v>
      </c>
      <c r="C909" s="18" t="s">
        <v>5734</v>
      </c>
      <c r="D909" s="18" t="s">
        <v>5735</v>
      </c>
      <c r="E909" s="18" t="s">
        <v>5736</v>
      </c>
      <c r="F909" s="18" t="s">
        <v>2547</v>
      </c>
      <c r="G909" s="18" t="s">
        <v>237</v>
      </c>
      <c r="H909" s="18" t="s">
        <v>213</v>
      </c>
      <c r="I909" s="18" t="s">
        <v>5729</v>
      </c>
      <c r="J909" s="18" t="s">
        <v>5737</v>
      </c>
      <c r="K909" s="18" t="s">
        <v>5738</v>
      </c>
      <c r="L909" s="19">
        <v>88440</v>
      </c>
    </row>
    <row r="910" spans="1:12" ht="18" customHeight="1">
      <c r="A910" s="16" t="s">
        <v>5739</v>
      </c>
      <c r="B910" s="17" t="s">
        <v>5740</v>
      </c>
      <c r="C910" s="18" t="s">
        <v>5741</v>
      </c>
      <c r="D910" s="18" t="s">
        <v>5742</v>
      </c>
      <c r="E910" s="18" t="s">
        <v>5743</v>
      </c>
      <c r="F910" s="18" t="s">
        <v>2547</v>
      </c>
      <c r="G910" s="18" t="s">
        <v>237</v>
      </c>
      <c r="H910" s="18" t="s">
        <v>190</v>
      </c>
      <c r="I910" s="18" t="s">
        <v>5744</v>
      </c>
      <c r="J910" s="18" t="s">
        <v>5745</v>
      </c>
      <c r="K910" s="18" t="s">
        <v>5746</v>
      </c>
      <c r="L910" s="19">
        <v>78570</v>
      </c>
    </row>
    <row r="911" spans="1:12" ht="18" customHeight="1">
      <c r="A911" s="16" t="s">
        <v>5747</v>
      </c>
      <c r="B911" s="17" t="s">
        <v>5748</v>
      </c>
      <c r="C911" s="18" t="s">
        <v>5749</v>
      </c>
      <c r="D911" s="18" t="s">
        <v>5750</v>
      </c>
      <c r="E911" s="18" t="s">
        <v>5751</v>
      </c>
      <c r="F911" s="18" t="s">
        <v>2547</v>
      </c>
      <c r="G911" s="18" t="s">
        <v>237</v>
      </c>
      <c r="H911" s="18" t="s">
        <v>190</v>
      </c>
      <c r="I911" s="18" t="s">
        <v>5752</v>
      </c>
      <c r="J911" s="18" t="s">
        <v>5753</v>
      </c>
      <c r="K911" s="18" t="s">
        <v>5754</v>
      </c>
      <c r="L911" s="19">
        <v>78570</v>
      </c>
    </row>
    <row r="912" spans="1:12" ht="18" customHeight="1">
      <c r="A912" s="16" t="s">
        <v>5755</v>
      </c>
      <c r="B912" s="17" t="s">
        <v>5756</v>
      </c>
      <c r="C912" s="18" t="s">
        <v>5757</v>
      </c>
      <c r="D912" s="18" t="s">
        <v>5758</v>
      </c>
      <c r="E912" s="18" t="s">
        <v>5759</v>
      </c>
      <c r="F912" s="18" t="s">
        <v>2547</v>
      </c>
      <c r="G912" s="18" t="s">
        <v>237</v>
      </c>
      <c r="H912" s="18" t="s">
        <v>99</v>
      </c>
      <c r="I912" s="18" t="s">
        <v>5760</v>
      </c>
      <c r="J912" s="18" t="s">
        <v>5761</v>
      </c>
      <c r="K912" s="18" t="s">
        <v>5762</v>
      </c>
      <c r="L912" s="19">
        <v>31660</v>
      </c>
    </row>
    <row r="913" spans="1:12" ht="18" customHeight="1">
      <c r="A913" s="16" t="s">
        <v>5763</v>
      </c>
      <c r="B913" s="17" t="s">
        <v>5764</v>
      </c>
      <c r="C913" s="18" t="s">
        <v>5765</v>
      </c>
      <c r="D913" s="18" t="s">
        <v>5766</v>
      </c>
      <c r="E913" s="18" t="s">
        <v>5767</v>
      </c>
      <c r="F913" s="18" t="s">
        <v>2547</v>
      </c>
      <c r="G913" s="18" t="s">
        <v>237</v>
      </c>
      <c r="H913" s="18" t="s">
        <v>91</v>
      </c>
      <c r="I913" s="18" t="s">
        <v>5768</v>
      </c>
      <c r="J913" s="18" t="s">
        <v>5769</v>
      </c>
      <c r="K913" s="18" t="s">
        <v>5770</v>
      </c>
      <c r="L913" s="19">
        <v>30740</v>
      </c>
    </row>
    <row r="914" spans="1:12" ht="18" customHeight="1">
      <c r="A914" s="16" t="s">
        <v>5771</v>
      </c>
      <c r="B914" s="17" t="s">
        <v>5772</v>
      </c>
      <c r="C914" s="18" t="s">
        <v>5773</v>
      </c>
      <c r="D914" s="18" t="s">
        <v>5774</v>
      </c>
      <c r="E914" s="18" t="s">
        <v>5775</v>
      </c>
      <c r="F914" s="18" t="s">
        <v>2547</v>
      </c>
      <c r="G914" s="18" t="s">
        <v>237</v>
      </c>
      <c r="H914" s="18" t="s">
        <v>1186</v>
      </c>
      <c r="I914" s="18" t="s">
        <v>5768</v>
      </c>
      <c r="J914" s="18" t="s">
        <v>5776</v>
      </c>
      <c r="K914" s="18" t="s">
        <v>5770</v>
      </c>
      <c r="L914" s="19">
        <v>61166</v>
      </c>
    </row>
    <row r="915" spans="1:12" ht="18" customHeight="1">
      <c r="A915" s="16" t="s">
        <v>5777</v>
      </c>
      <c r="B915" s="17" t="s">
        <v>5778</v>
      </c>
      <c r="C915" s="18" t="s">
        <v>5779</v>
      </c>
      <c r="D915" s="18" t="s">
        <v>5780</v>
      </c>
      <c r="E915" s="18" t="s">
        <v>5781</v>
      </c>
      <c r="F915" s="18" t="s">
        <v>2547</v>
      </c>
      <c r="G915" s="18" t="s">
        <v>237</v>
      </c>
      <c r="H915" s="18" t="s">
        <v>1153</v>
      </c>
      <c r="I915" s="18" t="s">
        <v>5782</v>
      </c>
      <c r="J915" s="18" t="s">
        <v>5783</v>
      </c>
      <c r="K915" s="18" t="s">
        <v>5784</v>
      </c>
      <c r="L915" s="19">
        <v>70110</v>
      </c>
    </row>
    <row r="916" spans="1:12" ht="18" customHeight="1">
      <c r="A916" s="16" t="s">
        <v>5785</v>
      </c>
      <c r="B916" s="17" t="s">
        <v>5786</v>
      </c>
      <c r="C916" s="18" t="s">
        <v>5787</v>
      </c>
      <c r="D916" s="18" t="s">
        <v>5788</v>
      </c>
      <c r="E916" s="18" t="s">
        <v>5789</v>
      </c>
      <c r="F916" s="18" t="s">
        <v>2547</v>
      </c>
      <c r="G916" s="18" t="s">
        <v>237</v>
      </c>
      <c r="H916" s="18" t="s">
        <v>99</v>
      </c>
      <c r="I916" s="18" t="s">
        <v>5790</v>
      </c>
      <c r="J916" s="18" t="s">
        <v>5791</v>
      </c>
      <c r="K916" s="18" t="s">
        <v>5792</v>
      </c>
      <c r="L916" s="19">
        <v>33981</v>
      </c>
    </row>
    <row r="917" spans="1:12" ht="18" customHeight="1">
      <c r="A917" s="16" t="s">
        <v>5793</v>
      </c>
      <c r="B917" s="17" t="s">
        <v>5794</v>
      </c>
      <c r="C917" s="18" t="s">
        <v>5795</v>
      </c>
      <c r="D917" s="18" t="s">
        <v>5796</v>
      </c>
      <c r="E917" s="18" t="s">
        <v>5797</v>
      </c>
      <c r="F917" s="18" t="s">
        <v>2547</v>
      </c>
      <c r="G917" s="18" t="s">
        <v>237</v>
      </c>
      <c r="H917" s="18" t="s">
        <v>616</v>
      </c>
      <c r="I917" s="18" t="s">
        <v>5798</v>
      </c>
      <c r="J917" s="18" t="s">
        <v>5799</v>
      </c>
      <c r="K917" s="18" t="s">
        <v>5800</v>
      </c>
      <c r="L917" s="19">
        <v>91680</v>
      </c>
    </row>
    <row r="918" spans="1:12" ht="18" customHeight="1">
      <c r="A918" s="16" t="s">
        <v>5801</v>
      </c>
      <c r="B918" s="17" t="s">
        <v>5802</v>
      </c>
      <c r="C918" s="18" t="s">
        <v>5803</v>
      </c>
      <c r="D918" s="18" t="s">
        <v>5804</v>
      </c>
      <c r="E918" s="18" t="s">
        <v>5805</v>
      </c>
      <c r="F918" s="18" t="s">
        <v>2547</v>
      </c>
      <c r="G918" s="18" t="s">
        <v>237</v>
      </c>
      <c r="H918" s="18" t="s">
        <v>106</v>
      </c>
      <c r="I918" s="18" t="s">
        <v>5806</v>
      </c>
      <c r="J918" s="18" t="s">
        <v>5807</v>
      </c>
      <c r="K918" s="18" t="s">
        <v>5808</v>
      </c>
      <c r="L918" s="19">
        <v>26340</v>
      </c>
    </row>
    <row r="919" spans="1:12" ht="18" customHeight="1">
      <c r="A919" s="16" t="s">
        <v>5809</v>
      </c>
      <c r="B919" s="17" t="s">
        <v>5810</v>
      </c>
      <c r="C919" s="18" t="s">
        <v>5811</v>
      </c>
      <c r="D919" s="18" t="s">
        <v>5812</v>
      </c>
      <c r="E919" s="18" t="s">
        <v>5813</v>
      </c>
      <c r="F919" s="18" t="s">
        <v>2547</v>
      </c>
      <c r="G919" s="18" t="s">
        <v>237</v>
      </c>
      <c r="H919" s="18" t="s">
        <v>213</v>
      </c>
      <c r="I919" s="18" t="s">
        <v>5814</v>
      </c>
      <c r="J919" s="18" t="s">
        <v>5815</v>
      </c>
      <c r="K919" s="18" t="s">
        <v>5816</v>
      </c>
      <c r="L919" s="19">
        <v>88300</v>
      </c>
    </row>
    <row r="920" spans="1:12" ht="18" customHeight="1">
      <c r="A920" s="16" t="s">
        <v>5817</v>
      </c>
      <c r="B920" s="17" t="s">
        <v>5818</v>
      </c>
      <c r="C920" s="18" t="s">
        <v>5819</v>
      </c>
      <c r="D920" s="18" t="s">
        <v>5820</v>
      </c>
      <c r="E920" s="18" t="s">
        <v>5821</v>
      </c>
      <c r="F920" s="18" t="s">
        <v>2547</v>
      </c>
      <c r="G920" s="18" t="s">
        <v>237</v>
      </c>
      <c r="H920" s="18" t="s">
        <v>616</v>
      </c>
      <c r="I920" s="18" t="s">
        <v>5814</v>
      </c>
      <c r="J920" s="18" t="s">
        <v>5822</v>
      </c>
      <c r="K920" s="18" t="s">
        <v>5823</v>
      </c>
      <c r="L920" s="19">
        <v>95427</v>
      </c>
    </row>
    <row r="921" spans="1:12" ht="18" customHeight="1">
      <c r="A921" s="16" t="s">
        <v>5824</v>
      </c>
      <c r="B921" s="17" t="s">
        <v>5825</v>
      </c>
      <c r="C921" s="18" t="s">
        <v>5826</v>
      </c>
      <c r="D921" s="18" t="s">
        <v>5827</v>
      </c>
      <c r="E921" s="18" t="s">
        <v>5828</v>
      </c>
      <c r="F921" s="18" t="s">
        <v>2547</v>
      </c>
      <c r="G921" s="18" t="s">
        <v>237</v>
      </c>
      <c r="H921" s="18" t="s">
        <v>168</v>
      </c>
      <c r="I921" s="18" t="s">
        <v>5829</v>
      </c>
      <c r="J921" s="18" t="s">
        <v>5830</v>
      </c>
      <c r="K921" s="18" t="s">
        <v>5831</v>
      </c>
      <c r="L921" s="19">
        <v>75520</v>
      </c>
    </row>
    <row r="922" spans="1:12" ht="18" customHeight="1">
      <c r="A922" s="16" t="s">
        <v>5832</v>
      </c>
      <c r="B922" s="17" t="s">
        <v>5833</v>
      </c>
      <c r="C922" s="18" t="s">
        <v>5834</v>
      </c>
      <c r="D922" s="18" t="s">
        <v>5835</v>
      </c>
      <c r="E922" s="18" t="s">
        <v>5836</v>
      </c>
      <c r="F922" s="18" t="s">
        <v>2547</v>
      </c>
      <c r="G922" s="18" t="s">
        <v>237</v>
      </c>
      <c r="H922" s="18" t="s">
        <v>190</v>
      </c>
      <c r="I922" s="18" t="s">
        <v>5837</v>
      </c>
      <c r="J922" s="18" t="s">
        <v>5838</v>
      </c>
      <c r="K922" s="18" t="s">
        <v>5839</v>
      </c>
      <c r="L922" s="19">
        <v>79400</v>
      </c>
    </row>
    <row r="923" spans="1:12" ht="18" customHeight="1">
      <c r="A923" s="16" t="s">
        <v>5840</v>
      </c>
      <c r="B923" s="17" t="s">
        <v>5841</v>
      </c>
      <c r="C923" s="18" t="s">
        <v>5842</v>
      </c>
      <c r="D923" s="18" t="s">
        <v>5843</v>
      </c>
      <c r="E923" s="18" t="s">
        <v>5844</v>
      </c>
      <c r="F923" s="18" t="s">
        <v>2547</v>
      </c>
      <c r="G923" s="18" t="s">
        <v>237</v>
      </c>
      <c r="H923" s="18" t="s">
        <v>616</v>
      </c>
      <c r="I923" s="18" t="s">
        <v>5845</v>
      </c>
      <c r="J923" s="18" t="s">
        <v>5846</v>
      </c>
      <c r="K923" s="18" t="s">
        <v>5847</v>
      </c>
      <c r="L923" s="19">
        <v>92510</v>
      </c>
    </row>
    <row r="924" spans="1:12" ht="18" customHeight="1">
      <c r="A924" s="16" t="s">
        <v>5848</v>
      </c>
      <c r="B924" s="17" t="s">
        <v>5849</v>
      </c>
      <c r="C924" s="18" t="s">
        <v>5850</v>
      </c>
      <c r="D924" s="18" t="s">
        <v>5851</v>
      </c>
      <c r="E924" s="18" t="s">
        <v>5852</v>
      </c>
      <c r="F924" s="18" t="s">
        <v>2547</v>
      </c>
      <c r="G924" s="18" t="s">
        <v>237</v>
      </c>
      <c r="H924" s="18" t="s">
        <v>294</v>
      </c>
      <c r="I924" s="18" t="s">
        <v>5853</v>
      </c>
      <c r="J924" s="18" t="s">
        <v>5854</v>
      </c>
      <c r="K924" s="18" t="s">
        <v>5855</v>
      </c>
      <c r="L924" s="19">
        <v>56600</v>
      </c>
    </row>
    <row r="925" spans="1:12" ht="18" customHeight="1">
      <c r="A925" s="16" t="s">
        <v>5856</v>
      </c>
      <c r="B925" s="17" t="s">
        <v>5857</v>
      </c>
      <c r="C925" s="18" t="s">
        <v>5858</v>
      </c>
      <c r="D925" s="18" t="s">
        <v>5859</v>
      </c>
      <c r="E925" s="18" t="s">
        <v>5860</v>
      </c>
      <c r="F925" s="18" t="s">
        <v>2547</v>
      </c>
      <c r="G925" s="18" t="s">
        <v>237</v>
      </c>
      <c r="H925" s="18" t="s">
        <v>84</v>
      </c>
      <c r="I925" s="18" t="s">
        <v>5861</v>
      </c>
      <c r="J925" s="18" t="s">
        <v>5862</v>
      </c>
      <c r="K925" s="18" t="s">
        <v>5863</v>
      </c>
      <c r="L925" s="19">
        <v>24400</v>
      </c>
    </row>
    <row r="926" spans="1:12" ht="18" customHeight="1">
      <c r="A926" s="16" t="s">
        <v>5864</v>
      </c>
      <c r="B926" s="17" t="s">
        <v>5865</v>
      </c>
      <c r="C926" s="18" t="s">
        <v>5866</v>
      </c>
      <c r="D926" s="18" t="s">
        <v>5867</v>
      </c>
      <c r="E926" s="18" t="s">
        <v>5868</v>
      </c>
      <c r="F926" s="18" t="s">
        <v>2547</v>
      </c>
      <c r="G926" s="18" t="s">
        <v>237</v>
      </c>
      <c r="H926" s="18" t="s">
        <v>91</v>
      </c>
      <c r="I926" s="18" t="s">
        <v>5869</v>
      </c>
      <c r="J926" s="18" t="s">
        <v>5870</v>
      </c>
      <c r="K926" s="18" t="s">
        <v>5871</v>
      </c>
      <c r="L926" s="19">
        <v>29160</v>
      </c>
    </row>
    <row r="927" spans="1:12" ht="18" customHeight="1">
      <c r="A927" s="16" t="s">
        <v>5872</v>
      </c>
      <c r="B927" s="17" t="s">
        <v>5873</v>
      </c>
      <c r="C927" s="18" t="s">
        <v>5874</v>
      </c>
      <c r="D927" s="18" t="s">
        <v>5875</v>
      </c>
      <c r="E927" s="18" t="s">
        <v>5876</v>
      </c>
      <c r="F927" s="18" t="s">
        <v>2547</v>
      </c>
      <c r="G927" s="18" t="s">
        <v>237</v>
      </c>
      <c r="H927" s="18" t="s">
        <v>168</v>
      </c>
      <c r="I927" s="18" t="s">
        <v>5877</v>
      </c>
      <c r="J927" s="18" t="s">
        <v>5878</v>
      </c>
      <c r="K927" s="18" t="s">
        <v>5879</v>
      </c>
      <c r="L927" s="19">
        <v>74730</v>
      </c>
    </row>
    <row r="928" spans="1:12" ht="18" customHeight="1">
      <c r="A928" s="16" t="s">
        <v>5880</v>
      </c>
      <c r="B928" s="17" t="s">
        <v>5881</v>
      </c>
      <c r="C928" s="18" t="s">
        <v>5882</v>
      </c>
      <c r="D928" s="18" t="s">
        <v>5883</v>
      </c>
      <c r="E928" s="18" t="s">
        <v>5884</v>
      </c>
      <c r="F928" s="18" t="s">
        <v>2547</v>
      </c>
      <c r="G928" s="18" t="s">
        <v>237</v>
      </c>
      <c r="H928" s="18" t="s">
        <v>616</v>
      </c>
      <c r="I928" s="18" t="s">
        <v>5885</v>
      </c>
      <c r="J928" s="18" t="s">
        <v>10452</v>
      </c>
      <c r="K928" s="18" t="s">
        <v>5886</v>
      </c>
      <c r="L928" s="19">
        <v>92709</v>
      </c>
    </row>
    <row r="929" spans="1:13" ht="18" customHeight="1">
      <c r="A929" s="16" t="s">
        <v>5887</v>
      </c>
      <c r="B929" s="17" t="s">
        <v>5888</v>
      </c>
      <c r="C929" s="18" t="s">
        <v>5889</v>
      </c>
      <c r="D929" s="18" t="s">
        <v>5890</v>
      </c>
      <c r="E929" s="18" t="s">
        <v>5891</v>
      </c>
      <c r="F929" s="18" t="s">
        <v>2547</v>
      </c>
      <c r="G929" s="18" t="s">
        <v>237</v>
      </c>
      <c r="H929" s="18" t="s">
        <v>168</v>
      </c>
      <c r="I929" s="18" t="s">
        <v>5892</v>
      </c>
      <c r="J929" s="18" t="s">
        <v>5893</v>
      </c>
      <c r="K929" s="18" t="s">
        <v>5894</v>
      </c>
      <c r="L929" s="19">
        <v>73300</v>
      </c>
    </row>
    <row r="930" spans="1:13" ht="18" customHeight="1">
      <c r="A930" s="16" t="s">
        <v>5895</v>
      </c>
      <c r="B930" s="17" t="s">
        <v>5896</v>
      </c>
      <c r="C930" s="18" t="s">
        <v>5897</v>
      </c>
      <c r="D930" s="18" t="s">
        <v>5898</v>
      </c>
      <c r="E930" s="18" t="s">
        <v>5899</v>
      </c>
      <c r="F930" s="18" t="s">
        <v>2547</v>
      </c>
      <c r="G930" s="18" t="s">
        <v>237</v>
      </c>
      <c r="H930" s="18" t="s">
        <v>136</v>
      </c>
      <c r="I930" s="18" t="s">
        <v>5900</v>
      </c>
      <c r="J930" s="18" t="s">
        <v>5901</v>
      </c>
      <c r="K930" s="18" t="s">
        <v>5902</v>
      </c>
      <c r="L930" s="19">
        <v>41100</v>
      </c>
      <c r="M930" s="56"/>
    </row>
    <row r="931" spans="1:13" ht="18" customHeight="1">
      <c r="A931" s="16" t="s">
        <v>10454</v>
      </c>
      <c r="B931" s="17">
        <v>3162</v>
      </c>
      <c r="C931" s="18" t="s">
        <v>5287</v>
      </c>
      <c r="D931" s="18" t="s">
        <v>5288</v>
      </c>
      <c r="E931" s="18" t="s">
        <v>10456</v>
      </c>
      <c r="F931" s="18" t="s">
        <v>2547</v>
      </c>
      <c r="G931" s="18" t="s">
        <v>237</v>
      </c>
      <c r="H931" s="18" t="s">
        <v>1186</v>
      </c>
      <c r="I931" s="18" t="s">
        <v>10451</v>
      </c>
      <c r="J931" s="18" t="s">
        <v>10453</v>
      </c>
      <c r="K931" s="18" t="s">
        <v>5292</v>
      </c>
      <c r="L931" s="22">
        <v>59780</v>
      </c>
    </row>
    <row r="932" spans="1:13" ht="18" customHeight="1">
      <c r="A932" s="16" t="s">
        <v>5903</v>
      </c>
      <c r="B932" s="17" t="s">
        <v>5904</v>
      </c>
      <c r="C932" s="18" t="s">
        <v>5905</v>
      </c>
      <c r="D932" s="18" t="s">
        <v>5906</v>
      </c>
      <c r="E932" s="18" t="s">
        <v>5907</v>
      </c>
      <c r="F932" s="18" t="s">
        <v>2547</v>
      </c>
      <c r="G932" s="18" t="s">
        <v>237</v>
      </c>
      <c r="H932" s="18" t="s">
        <v>504</v>
      </c>
      <c r="I932" s="18" t="s">
        <v>5908</v>
      </c>
      <c r="J932" s="18" t="s">
        <v>5909</v>
      </c>
      <c r="K932" s="18" t="s">
        <v>5910</v>
      </c>
      <c r="L932" s="19">
        <v>81700</v>
      </c>
    </row>
    <row r="933" spans="1:13" ht="18" customHeight="1">
      <c r="A933" s="16" t="s">
        <v>5911</v>
      </c>
      <c r="B933" s="17" t="s">
        <v>5912</v>
      </c>
      <c r="C933" s="18" t="s">
        <v>5913</v>
      </c>
      <c r="D933" s="18" t="s">
        <v>5914</v>
      </c>
      <c r="E933" s="18" t="s">
        <v>5915</v>
      </c>
      <c r="F933" s="18" t="s">
        <v>2547</v>
      </c>
      <c r="G933" s="18" t="s">
        <v>237</v>
      </c>
      <c r="H933" s="18" t="s">
        <v>168</v>
      </c>
      <c r="I933" s="18" t="s">
        <v>5916</v>
      </c>
      <c r="J933" s="18" t="s">
        <v>5917</v>
      </c>
      <c r="K933" s="18" t="s">
        <v>5918</v>
      </c>
      <c r="L933" s="19">
        <v>72760</v>
      </c>
    </row>
    <row r="934" spans="1:13" ht="18" customHeight="1">
      <c r="A934" s="16" t="s">
        <v>5919</v>
      </c>
      <c r="B934" s="17" t="s">
        <v>5920</v>
      </c>
      <c r="C934" s="18" t="s">
        <v>5921</v>
      </c>
      <c r="D934" s="18" t="s">
        <v>5922</v>
      </c>
      <c r="E934" s="18" t="s">
        <v>5923</v>
      </c>
      <c r="F934" s="18" t="s">
        <v>2547</v>
      </c>
      <c r="G934" s="18" t="s">
        <v>237</v>
      </c>
      <c r="H934" s="18" t="s">
        <v>91</v>
      </c>
      <c r="I934" s="18" t="s">
        <v>5924</v>
      </c>
      <c r="J934" s="18" t="s">
        <v>5925</v>
      </c>
      <c r="K934" s="18" t="s">
        <v>5926</v>
      </c>
      <c r="L934" s="19">
        <v>90500</v>
      </c>
    </row>
    <row r="935" spans="1:13" ht="18" customHeight="1">
      <c r="A935" s="16" t="s">
        <v>5927</v>
      </c>
      <c r="B935" s="17" t="s">
        <v>5928</v>
      </c>
      <c r="C935" s="18" t="s">
        <v>5929</v>
      </c>
      <c r="D935" s="18" t="s">
        <v>5930</v>
      </c>
      <c r="E935" s="18" t="s">
        <v>5931</v>
      </c>
      <c r="F935" s="18" t="s">
        <v>2547</v>
      </c>
      <c r="G935" s="18" t="s">
        <v>237</v>
      </c>
      <c r="H935" s="18" t="s">
        <v>616</v>
      </c>
      <c r="I935" s="18" t="s">
        <v>5932</v>
      </c>
      <c r="J935" s="18" t="s">
        <v>5933</v>
      </c>
      <c r="K935" s="18" t="s">
        <v>5934</v>
      </c>
      <c r="L935" s="19">
        <v>91500</v>
      </c>
    </row>
    <row r="936" spans="1:13" ht="18" customHeight="1">
      <c r="A936" s="16" t="s">
        <v>5935</v>
      </c>
      <c r="B936" s="17" t="s">
        <v>5936</v>
      </c>
      <c r="C936" s="18" t="s">
        <v>5937</v>
      </c>
      <c r="D936" s="18" t="s">
        <v>5938</v>
      </c>
      <c r="E936" s="18" t="s">
        <v>5939</v>
      </c>
      <c r="F936" s="18" t="s">
        <v>2547</v>
      </c>
      <c r="G936" s="18" t="s">
        <v>237</v>
      </c>
      <c r="H936" s="18" t="s">
        <v>632</v>
      </c>
      <c r="I936" s="18" t="s">
        <v>5940</v>
      </c>
      <c r="J936" s="18" t="s">
        <v>5941</v>
      </c>
      <c r="K936" s="18" t="s">
        <v>5942</v>
      </c>
      <c r="L936" s="19">
        <v>48500</v>
      </c>
    </row>
    <row r="937" spans="1:13" ht="18" customHeight="1">
      <c r="A937" s="16" t="s">
        <v>5943</v>
      </c>
      <c r="B937" s="17" t="s">
        <v>5944</v>
      </c>
      <c r="C937" s="18" t="s">
        <v>5945</v>
      </c>
      <c r="D937" s="18" t="s">
        <v>5946</v>
      </c>
      <c r="E937" s="18" t="s">
        <v>5947</v>
      </c>
      <c r="F937" s="18" t="s">
        <v>2547</v>
      </c>
      <c r="G937" s="18" t="s">
        <v>237</v>
      </c>
      <c r="H937" s="18" t="s">
        <v>190</v>
      </c>
      <c r="I937" s="18" t="s">
        <v>5948</v>
      </c>
      <c r="J937" s="18" t="s">
        <v>5949</v>
      </c>
      <c r="K937" s="18" t="s">
        <v>190</v>
      </c>
      <c r="L937" s="19">
        <v>78270</v>
      </c>
    </row>
    <row r="938" spans="1:13" ht="18" customHeight="1">
      <c r="A938" s="16" t="s">
        <v>5950</v>
      </c>
      <c r="B938" s="17" t="s">
        <v>5951</v>
      </c>
      <c r="C938" s="18" t="s">
        <v>5952</v>
      </c>
      <c r="D938" s="18" t="s">
        <v>5953</v>
      </c>
      <c r="E938" s="18" t="s">
        <v>5954</v>
      </c>
      <c r="F938" s="18" t="s">
        <v>2547</v>
      </c>
      <c r="G938" s="18" t="s">
        <v>237</v>
      </c>
      <c r="H938" s="18" t="s">
        <v>168</v>
      </c>
      <c r="I938" s="18" t="s">
        <v>5955</v>
      </c>
      <c r="J938" s="18" t="s">
        <v>5956</v>
      </c>
      <c r="K938" s="18" t="s">
        <v>5093</v>
      </c>
      <c r="L938" s="19">
        <v>72300</v>
      </c>
    </row>
    <row r="939" spans="1:13" ht="18" customHeight="1">
      <c r="A939" s="16" t="s">
        <v>5957</v>
      </c>
      <c r="B939" s="17" t="s">
        <v>5958</v>
      </c>
      <c r="C939" s="18" t="s">
        <v>5959</v>
      </c>
      <c r="D939" s="18" t="s">
        <v>5960</v>
      </c>
      <c r="E939" s="18" t="s">
        <v>5961</v>
      </c>
      <c r="F939" s="18" t="s">
        <v>2547</v>
      </c>
      <c r="G939" s="18" t="s">
        <v>237</v>
      </c>
      <c r="H939" s="18" t="s">
        <v>175</v>
      </c>
      <c r="I939" s="18" t="s">
        <v>5962</v>
      </c>
      <c r="J939" s="18" t="s">
        <v>5963</v>
      </c>
      <c r="K939" s="18" t="s">
        <v>1142</v>
      </c>
      <c r="L939" s="19">
        <v>76110</v>
      </c>
    </row>
    <row r="940" spans="1:13" ht="18" customHeight="1">
      <c r="A940" s="16" t="s">
        <v>5964</v>
      </c>
      <c r="B940" s="17" t="s">
        <v>5965</v>
      </c>
      <c r="C940" s="18" t="s">
        <v>5966</v>
      </c>
      <c r="D940" s="18" t="s">
        <v>5967</v>
      </c>
      <c r="E940" s="18" t="s">
        <v>5968</v>
      </c>
      <c r="F940" s="18" t="s">
        <v>2547</v>
      </c>
      <c r="G940" s="18" t="s">
        <v>237</v>
      </c>
      <c r="H940" s="18" t="s">
        <v>504</v>
      </c>
      <c r="I940" s="18" t="s">
        <v>5969</v>
      </c>
      <c r="J940" s="18" t="s">
        <v>5970</v>
      </c>
      <c r="K940" s="18" t="s">
        <v>5971</v>
      </c>
      <c r="L940" s="19">
        <v>80020</v>
      </c>
    </row>
    <row r="941" spans="1:13" ht="18" customHeight="1">
      <c r="A941" s="16" t="s">
        <v>5972</v>
      </c>
      <c r="B941" s="17" t="s">
        <v>5973</v>
      </c>
      <c r="C941" s="18" t="s">
        <v>5974</v>
      </c>
      <c r="D941" s="18" t="s">
        <v>5975</v>
      </c>
      <c r="E941" s="18" t="s">
        <v>5976</v>
      </c>
      <c r="F941" s="18" t="s">
        <v>2547</v>
      </c>
      <c r="G941" s="18" t="s">
        <v>237</v>
      </c>
      <c r="H941" s="18" t="s">
        <v>205</v>
      </c>
      <c r="I941" s="18" t="s">
        <v>5977</v>
      </c>
      <c r="J941" s="18" t="s">
        <v>5978</v>
      </c>
      <c r="K941" s="18" t="s">
        <v>5979</v>
      </c>
      <c r="L941" s="19">
        <v>86300</v>
      </c>
    </row>
    <row r="942" spans="1:13" ht="18" customHeight="1">
      <c r="A942" s="16" t="s">
        <v>5980</v>
      </c>
      <c r="B942" s="17" t="s">
        <v>5981</v>
      </c>
      <c r="C942" s="18" t="s">
        <v>5982</v>
      </c>
      <c r="D942" s="18" t="s">
        <v>5983</v>
      </c>
      <c r="E942" s="18" t="s">
        <v>5984</v>
      </c>
      <c r="F942" s="18" t="s">
        <v>2547</v>
      </c>
      <c r="G942" s="18" t="s">
        <v>237</v>
      </c>
      <c r="H942" s="18" t="s">
        <v>152</v>
      </c>
      <c r="I942" s="18" t="s">
        <v>5985</v>
      </c>
      <c r="J942" s="18" t="s">
        <v>5986</v>
      </c>
      <c r="K942" s="18" t="s">
        <v>5987</v>
      </c>
      <c r="L942" s="19">
        <v>63704</v>
      </c>
    </row>
    <row r="943" spans="1:13" ht="18" customHeight="1">
      <c r="A943" s="16" t="s">
        <v>5988</v>
      </c>
      <c r="B943" s="17" t="s">
        <v>5989</v>
      </c>
      <c r="C943" s="18" t="s">
        <v>5990</v>
      </c>
      <c r="D943" s="18" t="s">
        <v>5991</v>
      </c>
      <c r="E943" s="18" t="s">
        <v>5992</v>
      </c>
      <c r="F943" s="18" t="s">
        <v>2547</v>
      </c>
      <c r="G943" s="18" t="s">
        <v>237</v>
      </c>
      <c r="H943" s="18" t="s">
        <v>228</v>
      </c>
      <c r="I943" s="18" t="s">
        <v>5993</v>
      </c>
      <c r="J943" s="18" t="s">
        <v>5565</v>
      </c>
      <c r="K943" s="18" t="s">
        <v>5566</v>
      </c>
      <c r="L943" s="19">
        <v>98200</v>
      </c>
    </row>
    <row r="944" spans="1:13" ht="18" customHeight="1">
      <c r="A944" s="16" t="s">
        <v>5994</v>
      </c>
      <c r="B944" s="17" t="s">
        <v>5995</v>
      </c>
      <c r="C944" s="18" t="s">
        <v>5996</v>
      </c>
      <c r="D944" s="18" t="s">
        <v>5997</v>
      </c>
      <c r="E944" s="18" t="s">
        <v>5998</v>
      </c>
      <c r="F944" s="18" t="s">
        <v>2547</v>
      </c>
      <c r="G944" s="18" t="s">
        <v>237</v>
      </c>
      <c r="H944" s="18" t="s">
        <v>504</v>
      </c>
      <c r="I944" s="18" t="s">
        <v>5999</v>
      </c>
      <c r="J944" s="18" t="s">
        <v>6000</v>
      </c>
      <c r="K944" s="18" t="s">
        <v>6001</v>
      </c>
      <c r="L944" s="19">
        <v>82600</v>
      </c>
    </row>
    <row r="945" spans="1:12" ht="18" customHeight="1">
      <c r="A945" s="16" t="s">
        <v>6002</v>
      </c>
      <c r="B945" s="17" t="s">
        <v>6003</v>
      </c>
      <c r="C945" s="18" t="s">
        <v>6004</v>
      </c>
      <c r="D945" s="18" t="s">
        <v>6005</v>
      </c>
      <c r="E945" s="18" t="s">
        <v>6006</v>
      </c>
      <c r="F945" s="18" t="s">
        <v>2547</v>
      </c>
      <c r="G945" s="18" t="s">
        <v>237</v>
      </c>
      <c r="H945" s="18" t="s">
        <v>91</v>
      </c>
      <c r="I945" s="18" t="s">
        <v>6007</v>
      </c>
      <c r="J945" s="18" t="s">
        <v>6008</v>
      </c>
      <c r="K945" s="18" t="s">
        <v>6009</v>
      </c>
      <c r="L945" s="19">
        <v>29620</v>
      </c>
    </row>
    <row r="946" spans="1:12" ht="18" customHeight="1">
      <c r="A946" s="16" t="s">
        <v>6010</v>
      </c>
      <c r="B946" s="17" t="s">
        <v>6011</v>
      </c>
      <c r="C946" s="18" t="s">
        <v>6012</v>
      </c>
      <c r="D946" s="18" t="s">
        <v>6013</v>
      </c>
      <c r="E946" s="18" t="s">
        <v>6014</v>
      </c>
      <c r="F946" s="18" t="s">
        <v>2547</v>
      </c>
      <c r="G946" s="18" t="s">
        <v>237</v>
      </c>
      <c r="H946" s="18" t="s">
        <v>128</v>
      </c>
      <c r="I946" s="18" t="s">
        <v>6015</v>
      </c>
      <c r="J946" s="18" t="s">
        <v>6016</v>
      </c>
      <c r="K946" s="18" t="s">
        <v>6017</v>
      </c>
      <c r="L946" s="19">
        <v>38600</v>
      </c>
    </row>
    <row r="947" spans="1:12" ht="18" customHeight="1">
      <c r="A947" s="16" t="s">
        <v>6018</v>
      </c>
      <c r="B947" s="17" t="s">
        <v>6019</v>
      </c>
      <c r="C947" s="18" t="s">
        <v>6020</v>
      </c>
      <c r="D947" s="18" t="s">
        <v>6021</v>
      </c>
      <c r="E947" s="18" t="s">
        <v>6022</v>
      </c>
      <c r="F947" s="18" t="s">
        <v>2547</v>
      </c>
      <c r="G947" s="18" t="s">
        <v>237</v>
      </c>
      <c r="H947" s="18" t="s">
        <v>504</v>
      </c>
      <c r="I947" s="18" t="s">
        <v>6023</v>
      </c>
      <c r="J947" s="18" t="s">
        <v>6024</v>
      </c>
      <c r="K947" s="18" t="s">
        <v>6025</v>
      </c>
      <c r="L947" s="19">
        <v>80700</v>
      </c>
    </row>
    <row r="948" spans="1:12" ht="18" customHeight="1">
      <c r="A948" s="16" t="s">
        <v>6026</v>
      </c>
      <c r="B948" s="17" t="s">
        <v>6027</v>
      </c>
      <c r="C948" s="18" t="s">
        <v>6028</v>
      </c>
      <c r="D948" s="18" t="s">
        <v>6029</v>
      </c>
      <c r="E948" s="18" t="s">
        <v>6030</v>
      </c>
      <c r="F948" s="18" t="s">
        <v>2547</v>
      </c>
      <c r="G948" s="18" t="s">
        <v>237</v>
      </c>
      <c r="H948" s="18" t="s">
        <v>616</v>
      </c>
      <c r="I948" s="18" t="s">
        <v>6031</v>
      </c>
      <c r="J948" s="18" t="s">
        <v>6032</v>
      </c>
      <c r="K948" s="18" t="s">
        <v>6033</v>
      </c>
      <c r="L948" s="19">
        <v>95390</v>
      </c>
    </row>
    <row r="949" spans="1:12" ht="18" customHeight="1">
      <c r="A949" s="16" t="s">
        <v>6034</v>
      </c>
      <c r="B949" s="17" t="s">
        <v>6035</v>
      </c>
      <c r="C949" s="18" t="s">
        <v>6036</v>
      </c>
      <c r="D949" s="18" t="s">
        <v>6037</v>
      </c>
      <c r="E949" s="18" t="s">
        <v>6038</v>
      </c>
      <c r="F949" s="18" t="s">
        <v>2547</v>
      </c>
      <c r="G949" s="18" t="s">
        <v>237</v>
      </c>
      <c r="H949" s="18" t="s">
        <v>504</v>
      </c>
      <c r="I949" s="18" t="s">
        <v>6039</v>
      </c>
      <c r="J949" s="18" t="s">
        <v>6040</v>
      </c>
      <c r="K949" s="18" t="s">
        <v>6041</v>
      </c>
      <c r="L949" s="19">
        <v>80430</v>
      </c>
    </row>
    <row r="950" spans="1:12" ht="18" customHeight="1">
      <c r="A950" s="16" t="s">
        <v>6042</v>
      </c>
      <c r="B950" s="17" t="s">
        <v>6043</v>
      </c>
      <c r="C950" s="18" t="s">
        <v>6044</v>
      </c>
      <c r="D950" s="18" t="s">
        <v>6045</v>
      </c>
      <c r="E950" s="18" t="s">
        <v>6046</v>
      </c>
      <c r="F950" s="18" t="s">
        <v>2547</v>
      </c>
      <c r="G950" s="18" t="s">
        <v>237</v>
      </c>
      <c r="H950" s="18" t="s">
        <v>136</v>
      </c>
      <c r="I950" s="18" t="s">
        <v>6047</v>
      </c>
      <c r="J950" s="18" t="s">
        <v>6048</v>
      </c>
      <c r="K950" s="18" t="s">
        <v>6049</v>
      </c>
      <c r="L950" s="19">
        <v>40980</v>
      </c>
    </row>
    <row r="951" spans="1:12" ht="18" customHeight="1">
      <c r="A951" s="16" t="s">
        <v>6050</v>
      </c>
      <c r="B951" s="17" t="s">
        <v>6051</v>
      </c>
      <c r="C951" s="18" t="s">
        <v>6052</v>
      </c>
      <c r="D951" s="18" t="s">
        <v>6053</v>
      </c>
      <c r="E951" s="18" t="s">
        <v>6054</v>
      </c>
      <c r="F951" s="18" t="s">
        <v>2547</v>
      </c>
      <c r="G951" s="18" t="s">
        <v>237</v>
      </c>
      <c r="H951" s="18" t="s">
        <v>136</v>
      </c>
      <c r="I951" s="18" t="s">
        <v>6055</v>
      </c>
      <c r="J951" s="18" t="s">
        <v>6056</v>
      </c>
      <c r="K951" s="18" t="s">
        <v>6057</v>
      </c>
      <c r="L951" s="19">
        <v>41940</v>
      </c>
    </row>
    <row r="952" spans="1:12" ht="18" customHeight="1">
      <c r="A952" s="16" t="s">
        <v>6058</v>
      </c>
      <c r="B952" s="17" t="s">
        <v>6059</v>
      </c>
      <c r="C952" s="18" t="s">
        <v>6060</v>
      </c>
      <c r="D952" s="18" t="s">
        <v>6061</v>
      </c>
      <c r="E952" s="18" t="s">
        <v>6062</v>
      </c>
      <c r="F952" s="18" t="s">
        <v>2547</v>
      </c>
      <c r="G952" s="18" t="s">
        <v>237</v>
      </c>
      <c r="H952" s="18" t="s">
        <v>106</v>
      </c>
      <c r="I952" s="18" t="s">
        <v>6063</v>
      </c>
      <c r="J952" s="18" t="s">
        <v>6064</v>
      </c>
      <c r="K952" s="18" t="s">
        <v>6065</v>
      </c>
      <c r="L952" s="19">
        <v>27640</v>
      </c>
    </row>
    <row r="953" spans="1:12" ht="18" customHeight="1">
      <c r="A953" s="16" t="s">
        <v>6066</v>
      </c>
      <c r="B953" s="17" t="s">
        <v>6067</v>
      </c>
      <c r="C953" s="18" t="s">
        <v>6068</v>
      </c>
      <c r="D953" s="18" t="s">
        <v>6069</v>
      </c>
      <c r="E953" s="18" t="s">
        <v>6070</v>
      </c>
      <c r="F953" s="18" t="s">
        <v>2547</v>
      </c>
      <c r="G953" s="18" t="s">
        <v>237</v>
      </c>
      <c r="H953" s="18" t="s">
        <v>121</v>
      </c>
      <c r="I953" s="18" t="s">
        <v>6071</v>
      </c>
      <c r="J953" s="18" t="s">
        <v>6072</v>
      </c>
      <c r="K953" s="18" t="s">
        <v>6073</v>
      </c>
      <c r="L953" s="19">
        <v>35800</v>
      </c>
    </row>
    <row r="954" spans="1:12" ht="18" customHeight="1">
      <c r="A954" s="16" t="s">
        <v>6074</v>
      </c>
      <c r="B954" s="17" t="s">
        <v>6075</v>
      </c>
      <c r="C954" s="18" t="s">
        <v>6076</v>
      </c>
      <c r="D954" s="18" t="s">
        <v>6077</v>
      </c>
      <c r="E954" s="18" t="s">
        <v>6078</v>
      </c>
      <c r="F954" s="18" t="s">
        <v>2547</v>
      </c>
      <c r="G954" s="18" t="s">
        <v>237</v>
      </c>
      <c r="H954" s="18" t="s">
        <v>168</v>
      </c>
      <c r="I954" s="18" t="s">
        <v>6079</v>
      </c>
      <c r="J954" s="18" t="s">
        <v>6080</v>
      </c>
      <c r="K954" s="18" t="s">
        <v>6081</v>
      </c>
      <c r="L954" s="19">
        <v>73560</v>
      </c>
    </row>
    <row r="955" spans="1:12" ht="18" customHeight="1">
      <c r="A955" s="16" t="s">
        <v>6082</v>
      </c>
      <c r="B955" s="17" t="s">
        <v>6083</v>
      </c>
      <c r="C955" s="18" t="s">
        <v>6084</v>
      </c>
      <c r="D955" s="18" t="s">
        <v>6085</v>
      </c>
      <c r="E955" s="18" t="s">
        <v>6086</v>
      </c>
      <c r="F955" s="18" t="s">
        <v>2547</v>
      </c>
      <c r="G955" s="18" t="s">
        <v>237</v>
      </c>
      <c r="H955" s="18" t="s">
        <v>205</v>
      </c>
      <c r="I955" s="18" t="s">
        <v>6087</v>
      </c>
      <c r="J955" s="18" t="s">
        <v>6088</v>
      </c>
      <c r="K955" s="18" t="s">
        <v>6089</v>
      </c>
      <c r="L955" s="19">
        <v>89690</v>
      </c>
    </row>
    <row r="956" spans="1:12" ht="18" customHeight="1">
      <c r="A956" s="16" t="s">
        <v>6090</v>
      </c>
      <c r="B956" s="17" t="s">
        <v>6091</v>
      </c>
      <c r="C956" s="18" t="s">
        <v>6092</v>
      </c>
      <c r="D956" s="18" t="s">
        <v>6093</v>
      </c>
      <c r="E956" s="18" t="s">
        <v>6094</v>
      </c>
      <c r="F956" s="18" t="s">
        <v>2547</v>
      </c>
      <c r="G956" s="18" t="s">
        <v>237</v>
      </c>
      <c r="H956" s="18" t="s">
        <v>128</v>
      </c>
      <c r="I956" s="18" t="s">
        <v>6095</v>
      </c>
      <c r="J956" s="18" t="s">
        <v>6096</v>
      </c>
      <c r="K956" s="18" t="s">
        <v>3627</v>
      </c>
      <c r="L956" s="19">
        <v>37800</v>
      </c>
    </row>
    <row r="957" spans="1:12" ht="18" customHeight="1">
      <c r="A957" s="16" t="s">
        <v>6097</v>
      </c>
      <c r="B957" s="17" t="s">
        <v>6098</v>
      </c>
      <c r="C957" s="18" t="s">
        <v>6099</v>
      </c>
      <c r="D957" s="18" t="s">
        <v>6100</v>
      </c>
      <c r="E957" s="18" t="s">
        <v>6101</v>
      </c>
      <c r="F957" s="18" t="s">
        <v>2547</v>
      </c>
      <c r="G957" s="18" t="s">
        <v>237</v>
      </c>
      <c r="H957" s="18" t="s">
        <v>160</v>
      </c>
      <c r="I957" s="18" t="s">
        <v>6102</v>
      </c>
      <c r="J957" s="18" t="s">
        <v>6103</v>
      </c>
      <c r="K957" s="18" t="s">
        <v>160</v>
      </c>
      <c r="L957" s="19">
        <v>67900</v>
      </c>
    </row>
    <row r="958" spans="1:12" ht="18" customHeight="1">
      <c r="A958" s="16" t="s">
        <v>6104</v>
      </c>
      <c r="B958" s="17" t="s">
        <v>6105</v>
      </c>
      <c r="C958" s="18" t="s">
        <v>6106</v>
      </c>
      <c r="D958" s="18" t="s">
        <v>6107</v>
      </c>
      <c r="E958" s="18" t="s">
        <v>6108</v>
      </c>
      <c r="F958" s="18" t="s">
        <v>2547</v>
      </c>
      <c r="G958" s="18" t="s">
        <v>237</v>
      </c>
      <c r="H958" s="18" t="s">
        <v>144</v>
      </c>
      <c r="I958" s="18" t="s">
        <v>6109</v>
      </c>
      <c r="J958" s="18" t="s">
        <v>6110</v>
      </c>
      <c r="K958" s="18" t="s">
        <v>6111</v>
      </c>
      <c r="L958" s="19">
        <v>97500</v>
      </c>
    </row>
    <row r="959" spans="1:12" ht="18" customHeight="1">
      <c r="A959" s="16" t="s">
        <v>6112</v>
      </c>
      <c r="B959" s="17" t="s">
        <v>6113</v>
      </c>
      <c r="C959" s="18" t="s">
        <v>6114</v>
      </c>
      <c r="D959" s="18" t="s">
        <v>6115</v>
      </c>
      <c r="E959" s="18" t="s">
        <v>6116</v>
      </c>
      <c r="F959" s="18" t="s">
        <v>2547</v>
      </c>
      <c r="G959" s="18" t="s">
        <v>237</v>
      </c>
      <c r="H959" s="18" t="s">
        <v>190</v>
      </c>
      <c r="I959" s="18" t="s">
        <v>6117</v>
      </c>
      <c r="J959" s="18" t="s">
        <v>6118</v>
      </c>
      <c r="K959" s="18" t="s">
        <v>6119</v>
      </c>
      <c r="L959" s="19">
        <v>79100</v>
      </c>
    </row>
    <row r="960" spans="1:12" ht="18" customHeight="1">
      <c r="A960" s="16" t="s">
        <v>6120</v>
      </c>
      <c r="B960" s="17" t="s">
        <v>6121</v>
      </c>
      <c r="C960" s="18" t="s">
        <v>6122</v>
      </c>
      <c r="D960" s="18" t="s">
        <v>6123</v>
      </c>
      <c r="E960" s="18" t="s">
        <v>6124</v>
      </c>
      <c r="F960" s="18" t="s">
        <v>2547</v>
      </c>
      <c r="G960" s="18" t="s">
        <v>237</v>
      </c>
      <c r="H960" s="18" t="s">
        <v>504</v>
      </c>
      <c r="I960" s="18" t="s">
        <v>6125</v>
      </c>
      <c r="J960" s="18" t="s">
        <v>6126</v>
      </c>
      <c r="K960" s="18" t="s">
        <v>6127</v>
      </c>
      <c r="L960" s="19">
        <v>80450</v>
      </c>
    </row>
    <row r="961" spans="1:12" ht="18" customHeight="1">
      <c r="A961" s="16" t="s">
        <v>6128</v>
      </c>
      <c r="B961" s="17" t="s">
        <v>6129</v>
      </c>
      <c r="C961" s="18" t="s">
        <v>6130</v>
      </c>
      <c r="D961" s="18" t="s">
        <v>6131</v>
      </c>
      <c r="E961" s="18" t="s">
        <v>6132</v>
      </c>
      <c r="F961" s="18" t="s">
        <v>2547</v>
      </c>
      <c r="G961" s="18" t="s">
        <v>237</v>
      </c>
      <c r="H961" s="18" t="s">
        <v>504</v>
      </c>
      <c r="I961" s="18" t="s">
        <v>6133</v>
      </c>
      <c r="J961" s="18" t="s">
        <v>6134</v>
      </c>
      <c r="K961" s="18" t="s">
        <v>6135</v>
      </c>
      <c r="L961" s="19">
        <v>81820</v>
      </c>
    </row>
    <row r="962" spans="1:12" ht="18" customHeight="1">
      <c r="A962" s="16" t="s">
        <v>6136</v>
      </c>
      <c r="B962" s="17" t="s">
        <v>6137</v>
      </c>
      <c r="C962" s="18" t="s">
        <v>6138</v>
      </c>
      <c r="D962" s="18" t="s">
        <v>6139</v>
      </c>
      <c r="E962" s="18" t="s">
        <v>6140</v>
      </c>
      <c r="F962" s="18" t="s">
        <v>2547</v>
      </c>
      <c r="G962" s="18" t="s">
        <v>237</v>
      </c>
      <c r="H962" s="18" t="s">
        <v>632</v>
      </c>
      <c r="I962" s="18" t="s">
        <v>6141</v>
      </c>
      <c r="J962" s="18" t="s">
        <v>6142</v>
      </c>
      <c r="K962" s="18" t="s">
        <v>6143</v>
      </c>
      <c r="L962" s="19">
        <v>48740</v>
      </c>
    </row>
    <row r="963" spans="1:12" ht="18" customHeight="1">
      <c r="A963" s="16" t="s">
        <v>6144</v>
      </c>
      <c r="B963" s="17" t="s">
        <v>6145</v>
      </c>
      <c r="C963" s="18" t="s">
        <v>6146</v>
      </c>
      <c r="D963" s="18" t="s">
        <v>6147</v>
      </c>
      <c r="E963" s="18" t="s">
        <v>6148</v>
      </c>
      <c r="F963" s="18" t="s">
        <v>2547</v>
      </c>
      <c r="G963" s="18" t="s">
        <v>237</v>
      </c>
      <c r="H963" s="18" t="s">
        <v>136</v>
      </c>
      <c r="I963" s="18" t="s">
        <v>6149</v>
      </c>
      <c r="J963" s="18" t="s">
        <v>6150</v>
      </c>
      <c r="K963" s="18" t="s">
        <v>6151</v>
      </c>
      <c r="L963" s="19">
        <v>39124</v>
      </c>
    </row>
    <row r="964" spans="1:12" ht="18" customHeight="1">
      <c r="A964" s="16" t="s">
        <v>6152</v>
      </c>
      <c r="B964" s="17" t="s">
        <v>6153</v>
      </c>
      <c r="C964" s="18" t="s">
        <v>6154</v>
      </c>
      <c r="D964" s="18" t="s">
        <v>6155</v>
      </c>
      <c r="E964" s="18" t="s">
        <v>6156</v>
      </c>
      <c r="F964" s="18" t="s">
        <v>2547</v>
      </c>
      <c r="G964" s="18" t="s">
        <v>237</v>
      </c>
      <c r="H964" s="18" t="s">
        <v>160</v>
      </c>
      <c r="I964" s="18" t="s">
        <v>6157</v>
      </c>
      <c r="J964" s="18" t="s">
        <v>6158</v>
      </c>
      <c r="K964" s="18" t="s">
        <v>6159</v>
      </c>
      <c r="L964" s="19">
        <v>67850</v>
      </c>
    </row>
    <row r="965" spans="1:12" ht="18" customHeight="1">
      <c r="A965" s="16" t="s">
        <v>6160</v>
      </c>
      <c r="B965" s="17" t="s">
        <v>6161</v>
      </c>
      <c r="C965" s="18" t="s">
        <v>6162</v>
      </c>
      <c r="D965" s="18" t="s">
        <v>6163</v>
      </c>
      <c r="E965" s="18" t="s">
        <v>6164</v>
      </c>
      <c r="F965" s="18" t="s">
        <v>2547</v>
      </c>
      <c r="G965" s="18" t="s">
        <v>237</v>
      </c>
      <c r="H965" s="18" t="s">
        <v>1186</v>
      </c>
      <c r="I965" s="18" t="s">
        <v>6165</v>
      </c>
      <c r="J965" s="18" t="s">
        <v>6166</v>
      </c>
      <c r="K965" s="18" t="s">
        <v>6167</v>
      </c>
      <c r="L965" s="19">
        <v>60800</v>
      </c>
    </row>
    <row r="966" spans="1:12" ht="18" customHeight="1">
      <c r="A966" s="16" t="s">
        <v>6168</v>
      </c>
      <c r="B966" s="17" t="s">
        <v>6169</v>
      </c>
      <c r="C966" s="18" t="s">
        <v>6170</v>
      </c>
      <c r="D966" s="18" t="s">
        <v>6171</v>
      </c>
      <c r="E966" s="18" t="s">
        <v>6172</v>
      </c>
      <c r="F966" s="18" t="s">
        <v>2547</v>
      </c>
      <c r="G966" s="18" t="s">
        <v>237</v>
      </c>
      <c r="H966" s="18" t="s">
        <v>504</v>
      </c>
      <c r="I966" s="18" t="s">
        <v>6173</v>
      </c>
      <c r="J966" s="18" t="s">
        <v>6174</v>
      </c>
      <c r="K966" s="18" t="s">
        <v>6175</v>
      </c>
      <c r="L966" s="19">
        <v>82800</v>
      </c>
    </row>
    <row r="967" spans="1:12" ht="18" customHeight="1">
      <c r="A967" s="16" t="s">
        <v>6176</v>
      </c>
      <c r="B967" s="17" t="s">
        <v>6177</v>
      </c>
      <c r="C967" s="18" t="s">
        <v>6178</v>
      </c>
      <c r="D967" s="18" t="s">
        <v>6179</v>
      </c>
      <c r="E967" s="18" t="s">
        <v>6180</v>
      </c>
      <c r="F967" s="18" t="s">
        <v>2547</v>
      </c>
      <c r="G967" s="18" t="s">
        <v>237</v>
      </c>
      <c r="H967" s="18" t="s">
        <v>121</v>
      </c>
      <c r="I967" s="18" t="s">
        <v>6181</v>
      </c>
      <c r="J967" s="18" t="s">
        <v>6182</v>
      </c>
      <c r="K967" s="18" t="s">
        <v>6183</v>
      </c>
      <c r="L967" s="19">
        <v>34942</v>
      </c>
    </row>
    <row r="968" spans="1:12" ht="18" customHeight="1">
      <c r="A968" s="16" t="s">
        <v>6184</v>
      </c>
      <c r="B968" s="17" t="s">
        <v>6185</v>
      </c>
      <c r="C968" s="18" t="s">
        <v>6186</v>
      </c>
      <c r="D968" s="18" t="s">
        <v>6187</v>
      </c>
      <c r="E968" s="18" t="s">
        <v>6188</v>
      </c>
      <c r="F968" s="18" t="s">
        <v>2547</v>
      </c>
      <c r="G968" s="18" t="s">
        <v>237</v>
      </c>
      <c r="H968" s="18" t="s">
        <v>205</v>
      </c>
      <c r="I968" s="18" t="s">
        <v>6189</v>
      </c>
      <c r="J968" s="18" t="s">
        <v>6190</v>
      </c>
      <c r="K968" s="18" t="s">
        <v>205</v>
      </c>
      <c r="L968" s="19">
        <v>86950</v>
      </c>
    </row>
    <row r="969" spans="1:12" ht="18" customHeight="1">
      <c r="A969" s="16" t="s">
        <v>6191</v>
      </c>
      <c r="B969" s="17" t="s">
        <v>6192</v>
      </c>
      <c r="C969" s="18" t="s">
        <v>6193</v>
      </c>
      <c r="D969" s="18" t="s">
        <v>6194</v>
      </c>
      <c r="E969" s="18" t="s">
        <v>6195</v>
      </c>
      <c r="F969" s="18" t="s">
        <v>2547</v>
      </c>
      <c r="G969" s="18" t="s">
        <v>237</v>
      </c>
      <c r="H969" s="18" t="s">
        <v>205</v>
      </c>
      <c r="I969" s="18" t="s">
        <v>6196</v>
      </c>
      <c r="J969" s="18" t="s">
        <v>6197</v>
      </c>
      <c r="K969" s="18" t="s">
        <v>515</v>
      </c>
      <c r="L969" s="19">
        <v>86950</v>
      </c>
    </row>
    <row r="970" spans="1:12" ht="18" customHeight="1">
      <c r="A970" s="16" t="s">
        <v>6198</v>
      </c>
      <c r="B970" s="17" t="s">
        <v>6199</v>
      </c>
      <c r="C970" s="18" t="s">
        <v>6200</v>
      </c>
      <c r="D970" s="18" t="s">
        <v>6201</v>
      </c>
      <c r="E970" s="18" t="s">
        <v>6202</v>
      </c>
      <c r="F970" s="18" t="s">
        <v>2547</v>
      </c>
      <c r="G970" s="18" t="s">
        <v>237</v>
      </c>
      <c r="H970" s="18" t="s">
        <v>197</v>
      </c>
      <c r="I970" s="18" t="s">
        <v>6203</v>
      </c>
      <c r="J970" s="18" t="s">
        <v>6204</v>
      </c>
      <c r="K970" s="18" t="s">
        <v>6205</v>
      </c>
      <c r="L970" s="19">
        <v>86360</v>
      </c>
    </row>
    <row r="971" spans="1:12" ht="18" customHeight="1">
      <c r="A971" s="16" t="s">
        <v>6206</v>
      </c>
      <c r="B971" s="17" t="s">
        <v>6207</v>
      </c>
      <c r="C971" s="18" t="s">
        <v>6208</v>
      </c>
      <c r="D971" s="18" t="s">
        <v>6209</v>
      </c>
      <c r="E971" s="18" t="s">
        <v>6210</v>
      </c>
      <c r="F971" s="18" t="s">
        <v>2547</v>
      </c>
      <c r="G971" s="18" t="s">
        <v>237</v>
      </c>
      <c r="H971" s="18" t="s">
        <v>84</v>
      </c>
      <c r="I971" s="18" t="s">
        <v>6211</v>
      </c>
      <c r="J971" s="18" t="s">
        <v>6212</v>
      </c>
      <c r="K971" s="18" t="s">
        <v>6213</v>
      </c>
      <c r="L971" s="19">
        <v>24350</v>
      </c>
    </row>
    <row r="972" spans="1:12" ht="18" customHeight="1">
      <c r="A972" s="16" t="s">
        <v>6214</v>
      </c>
      <c r="B972" s="17" t="s">
        <v>6215</v>
      </c>
      <c r="C972" s="18" t="s">
        <v>6216</v>
      </c>
      <c r="D972" s="18" t="s">
        <v>6217</v>
      </c>
      <c r="E972" s="18" t="s">
        <v>6218</v>
      </c>
      <c r="F972" s="18" t="s">
        <v>2547</v>
      </c>
      <c r="G972" s="18" t="s">
        <v>237</v>
      </c>
      <c r="H972" s="18" t="s">
        <v>504</v>
      </c>
      <c r="I972" s="18" t="s">
        <v>6219</v>
      </c>
      <c r="J972" s="18" t="s">
        <v>6220</v>
      </c>
      <c r="K972" s="18" t="s">
        <v>6221</v>
      </c>
      <c r="L972" s="19">
        <v>82400</v>
      </c>
    </row>
    <row r="973" spans="1:12" ht="18" customHeight="1">
      <c r="A973" s="16" t="s">
        <v>6222</v>
      </c>
      <c r="B973" s="17" t="s">
        <v>6223</v>
      </c>
      <c r="C973" s="18" t="s">
        <v>6224</v>
      </c>
      <c r="D973" s="18" t="s">
        <v>6225</v>
      </c>
      <c r="E973" s="18" t="s">
        <v>6226</v>
      </c>
      <c r="F973" s="18" t="s">
        <v>2547</v>
      </c>
      <c r="G973" s="18" t="s">
        <v>237</v>
      </c>
      <c r="H973" s="18" t="s">
        <v>168</v>
      </c>
      <c r="I973" s="18" t="s">
        <v>6227</v>
      </c>
      <c r="J973" s="18" t="s">
        <v>6228</v>
      </c>
      <c r="K973" s="18" t="s">
        <v>6229</v>
      </c>
      <c r="L973" s="19">
        <v>75560</v>
      </c>
    </row>
    <row r="974" spans="1:12" ht="18" customHeight="1">
      <c r="A974" s="16" t="s">
        <v>6230</v>
      </c>
      <c r="B974" s="17" t="s">
        <v>6231</v>
      </c>
      <c r="C974" s="18" t="s">
        <v>6232</v>
      </c>
      <c r="D974" s="18" t="s">
        <v>6233</v>
      </c>
      <c r="E974" s="18" t="s">
        <v>6234</v>
      </c>
      <c r="F974" s="18" t="s">
        <v>2547</v>
      </c>
      <c r="G974" s="18" t="s">
        <v>237</v>
      </c>
      <c r="H974" s="18" t="s">
        <v>504</v>
      </c>
      <c r="I974" s="18" t="s">
        <v>6235</v>
      </c>
      <c r="J974" s="18" t="s">
        <v>6236</v>
      </c>
      <c r="K974" s="18" t="s">
        <v>6237</v>
      </c>
      <c r="L974" s="19">
        <v>81140</v>
      </c>
    </row>
    <row r="975" spans="1:12" ht="18" customHeight="1">
      <c r="A975" s="16" t="s">
        <v>6238</v>
      </c>
      <c r="B975" s="17" t="s">
        <v>6239</v>
      </c>
      <c r="C975" s="18" t="s">
        <v>6240</v>
      </c>
      <c r="D975" s="18" t="s">
        <v>6241</v>
      </c>
      <c r="E975" s="18" t="s">
        <v>6242</v>
      </c>
      <c r="F975" s="18" t="s">
        <v>2547</v>
      </c>
      <c r="G975" s="18" t="s">
        <v>237</v>
      </c>
      <c r="H975" s="18" t="s">
        <v>197</v>
      </c>
      <c r="I975" s="18" t="s">
        <v>6243</v>
      </c>
      <c r="J975" s="18" t="s">
        <v>6244</v>
      </c>
      <c r="K975" s="18" t="s">
        <v>6229</v>
      </c>
      <c r="L975" s="19">
        <v>85129</v>
      </c>
    </row>
    <row r="976" spans="1:12" ht="18" customHeight="1">
      <c r="A976" s="16" t="s">
        <v>6245</v>
      </c>
      <c r="B976" s="17" t="s">
        <v>6246</v>
      </c>
      <c r="C976" s="18" t="s">
        <v>6247</v>
      </c>
      <c r="D976" s="18" t="s">
        <v>6248</v>
      </c>
      <c r="E976" s="18" t="s">
        <v>6249</v>
      </c>
      <c r="F976" s="18" t="s">
        <v>2547</v>
      </c>
      <c r="G976" s="18" t="s">
        <v>237</v>
      </c>
      <c r="H976" s="18" t="s">
        <v>504</v>
      </c>
      <c r="I976" s="18" t="s">
        <v>6250</v>
      </c>
      <c r="J976" s="18" t="s">
        <v>6251</v>
      </c>
      <c r="K976" s="18" t="s">
        <v>6252</v>
      </c>
      <c r="L976" s="19">
        <v>82700</v>
      </c>
    </row>
    <row r="977" spans="1:12" ht="18" customHeight="1">
      <c r="A977" s="16" t="s">
        <v>6253</v>
      </c>
      <c r="B977" s="17" t="s">
        <v>6254</v>
      </c>
      <c r="C977" s="18" t="s">
        <v>6255</v>
      </c>
      <c r="D977" s="18" t="s">
        <v>6256</v>
      </c>
      <c r="E977" s="18" t="s">
        <v>6257</v>
      </c>
      <c r="F977" s="18" t="s">
        <v>2547</v>
      </c>
      <c r="G977" s="18" t="s">
        <v>237</v>
      </c>
      <c r="H977" s="18" t="s">
        <v>197</v>
      </c>
      <c r="I977" s="18" t="s">
        <v>6258</v>
      </c>
      <c r="J977" s="18" t="s">
        <v>6259</v>
      </c>
      <c r="K977" s="18" t="s">
        <v>6260</v>
      </c>
      <c r="L977" s="19">
        <v>85510</v>
      </c>
    </row>
    <row r="978" spans="1:12" ht="18" customHeight="1">
      <c r="A978" s="16" t="s">
        <v>6261</v>
      </c>
      <c r="B978" s="17" t="s">
        <v>6262</v>
      </c>
      <c r="C978" s="18" t="s">
        <v>6263</v>
      </c>
      <c r="D978" s="18" t="s">
        <v>6264</v>
      </c>
      <c r="E978" s="18" t="s">
        <v>6265</v>
      </c>
      <c r="F978" s="18" t="s">
        <v>2547</v>
      </c>
      <c r="G978" s="18" t="s">
        <v>237</v>
      </c>
      <c r="H978" s="18" t="s">
        <v>197</v>
      </c>
      <c r="I978" s="18" t="s">
        <v>6266</v>
      </c>
      <c r="J978" s="18" t="s">
        <v>6267</v>
      </c>
      <c r="K978" s="18" t="s">
        <v>5409</v>
      </c>
      <c r="L978" s="19">
        <v>4516</v>
      </c>
    </row>
    <row r="979" spans="1:12" ht="18" customHeight="1">
      <c r="A979" s="16" t="s">
        <v>6268</v>
      </c>
      <c r="B979" s="17" t="s">
        <v>6269</v>
      </c>
      <c r="C979" s="18" t="s">
        <v>6270</v>
      </c>
      <c r="D979" s="18" t="s">
        <v>6271</v>
      </c>
      <c r="E979" s="18" t="s">
        <v>6272</v>
      </c>
      <c r="F979" s="18" t="s">
        <v>2547</v>
      </c>
      <c r="G979" s="18" t="s">
        <v>237</v>
      </c>
      <c r="H979" s="18" t="s">
        <v>182</v>
      </c>
      <c r="I979" s="18" t="s">
        <v>6273</v>
      </c>
      <c r="J979" s="18" t="s">
        <v>6274</v>
      </c>
      <c r="K979" s="18" t="s">
        <v>6275</v>
      </c>
      <c r="L979" s="19">
        <v>77200</v>
      </c>
    </row>
    <row r="980" spans="1:12" ht="18" customHeight="1">
      <c r="A980" s="16" t="s">
        <v>6276</v>
      </c>
      <c r="B980" s="17" t="s">
        <v>6277</v>
      </c>
      <c r="C980" s="18" t="s">
        <v>6278</v>
      </c>
      <c r="D980" s="18" t="s">
        <v>6279</v>
      </c>
      <c r="E980" s="18" t="s">
        <v>6280</v>
      </c>
      <c r="F980" s="18" t="s">
        <v>2547</v>
      </c>
      <c r="G980" s="18" t="s">
        <v>237</v>
      </c>
      <c r="H980" s="18" t="s">
        <v>106</v>
      </c>
      <c r="I980" s="18" t="s">
        <v>6281</v>
      </c>
      <c r="J980" s="18" t="s">
        <v>6282</v>
      </c>
      <c r="K980" s="18" t="s">
        <v>6283</v>
      </c>
      <c r="L980" s="19">
        <v>27901</v>
      </c>
    </row>
    <row r="981" spans="1:12" ht="18" customHeight="1">
      <c r="A981" s="16" t="s">
        <v>6284</v>
      </c>
      <c r="B981" s="17" t="s">
        <v>6285</v>
      </c>
      <c r="C981" s="18" t="s">
        <v>6286</v>
      </c>
      <c r="D981" s="18" t="s">
        <v>6287</v>
      </c>
      <c r="E981" s="18" t="s">
        <v>6288</v>
      </c>
      <c r="F981" s="18" t="s">
        <v>2547</v>
      </c>
      <c r="G981" s="18" t="s">
        <v>237</v>
      </c>
      <c r="H981" s="18" t="s">
        <v>205</v>
      </c>
      <c r="I981" s="18" t="s">
        <v>6289</v>
      </c>
      <c r="J981" s="18" t="s">
        <v>6290</v>
      </c>
      <c r="K981" s="18" t="s">
        <v>6291</v>
      </c>
      <c r="L981" s="19">
        <v>86151</v>
      </c>
    </row>
    <row r="982" spans="1:12" ht="18" customHeight="1">
      <c r="A982" s="16" t="s">
        <v>6292</v>
      </c>
      <c r="B982" s="17">
        <v>4592</v>
      </c>
      <c r="C982" s="18" t="s">
        <v>6293</v>
      </c>
      <c r="D982" s="18" t="s">
        <v>6294</v>
      </c>
      <c r="E982" s="18" t="s">
        <v>6295</v>
      </c>
      <c r="F982" s="18" t="s">
        <v>2547</v>
      </c>
      <c r="G982" s="18" t="s">
        <v>237</v>
      </c>
      <c r="H982" s="18" t="s">
        <v>91</v>
      </c>
      <c r="I982" s="18" t="s">
        <v>6296</v>
      </c>
      <c r="J982" s="18" t="s">
        <v>6297</v>
      </c>
      <c r="K982" s="18" t="s">
        <v>6298</v>
      </c>
      <c r="L982" s="19">
        <v>30140</v>
      </c>
    </row>
    <row r="983" spans="1:12" ht="18" customHeight="1">
      <c r="A983" s="16" t="s">
        <v>6299</v>
      </c>
      <c r="B983" s="17" t="s">
        <v>6300</v>
      </c>
      <c r="C983" s="18" t="s">
        <v>6301</v>
      </c>
      <c r="D983" s="18" t="s">
        <v>6302</v>
      </c>
      <c r="E983" s="18" t="s">
        <v>6303</v>
      </c>
      <c r="F983" s="18" t="s">
        <v>2547</v>
      </c>
      <c r="G983" s="18" t="s">
        <v>237</v>
      </c>
      <c r="H983" s="18" t="s">
        <v>160</v>
      </c>
      <c r="I983" s="18" t="s">
        <v>6304</v>
      </c>
      <c r="J983" s="18" t="s">
        <v>6305</v>
      </c>
      <c r="K983" s="18" t="s">
        <v>6306</v>
      </c>
      <c r="L983" s="19">
        <v>67850</v>
      </c>
    </row>
    <row r="984" spans="1:12" ht="18" customHeight="1">
      <c r="A984" s="16" t="s">
        <v>6307</v>
      </c>
      <c r="B984" s="17" t="s">
        <v>6308</v>
      </c>
      <c r="C984" s="18" t="s">
        <v>6309</v>
      </c>
      <c r="D984" s="18" t="s">
        <v>6310</v>
      </c>
      <c r="E984" s="18" t="s">
        <v>6311</v>
      </c>
      <c r="F984" s="18" t="s">
        <v>2547</v>
      </c>
      <c r="G984" s="18" t="s">
        <v>237</v>
      </c>
      <c r="H984" s="18" t="s">
        <v>160</v>
      </c>
      <c r="I984" s="18" t="s">
        <v>6312</v>
      </c>
      <c r="J984" s="18" t="s">
        <v>6313</v>
      </c>
      <c r="K984" s="18" t="s">
        <v>6314</v>
      </c>
      <c r="L984" s="19">
        <v>67000</v>
      </c>
    </row>
    <row r="985" spans="1:12" ht="18" customHeight="1">
      <c r="A985" s="16" t="s">
        <v>6315</v>
      </c>
      <c r="B985" s="17" t="s">
        <v>6316</v>
      </c>
      <c r="C985" s="18" t="s">
        <v>6317</v>
      </c>
      <c r="D985" s="18" t="s">
        <v>6318</v>
      </c>
      <c r="E985" s="18" t="s">
        <v>6319</v>
      </c>
      <c r="F985" s="18" t="s">
        <v>2547</v>
      </c>
      <c r="G985" s="18" t="s">
        <v>237</v>
      </c>
      <c r="H985" s="18" t="s">
        <v>504</v>
      </c>
      <c r="I985" s="18" t="s">
        <v>6320</v>
      </c>
      <c r="J985" s="18" t="s">
        <v>6321</v>
      </c>
      <c r="K985" s="18" t="s">
        <v>6322</v>
      </c>
      <c r="L985" s="19">
        <v>81110</v>
      </c>
    </row>
    <row r="986" spans="1:12" ht="18" customHeight="1">
      <c r="A986" s="16" t="s">
        <v>6323</v>
      </c>
      <c r="B986" s="17" t="s">
        <v>6324</v>
      </c>
      <c r="C986" s="18" t="s">
        <v>6325</v>
      </c>
      <c r="D986" s="18" t="s">
        <v>6326</v>
      </c>
      <c r="E986" s="18" t="s">
        <v>6327</v>
      </c>
      <c r="F986" s="18" t="s">
        <v>2547</v>
      </c>
      <c r="G986" s="18" t="s">
        <v>237</v>
      </c>
      <c r="H986" s="18" t="s">
        <v>99</v>
      </c>
      <c r="I986" s="18" t="s">
        <v>6328</v>
      </c>
      <c r="J986" s="18" t="s">
        <v>6329</v>
      </c>
      <c r="K986" s="18" t="s">
        <v>6330</v>
      </c>
      <c r="L986" s="19">
        <v>33180</v>
      </c>
    </row>
    <row r="987" spans="1:12" ht="18" customHeight="1">
      <c r="A987" s="16" t="s">
        <v>6331</v>
      </c>
      <c r="B987" s="17" t="s">
        <v>6332</v>
      </c>
      <c r="C987" s="18" t="s">
        <v>6333</v>
      </c>
      <c r="D987" s="18" t="s">
        <v>6334</v>
      </c>
      <c r="E987" s="18" t="s">
        <v>6335</v>
      </c>
      <c r="F987" s="18" t="s">
        <v>2547</v>
      </c>
      <c r="G987" s="18" t="s">
        <v>237</v>
      </c>
      <c r="H987" s="18" t="s">
        <v>121</v>
      </c>
      <c r="I987" s="18" t="s">
        <v>6336</v>
      </c>
      <c r="J987" s="18" t="s">
        <v>6337</v>
      </c>
      <c r="K987" s="18" t="s">
        <v>6338</v>
      </c>
      <c r="L987" s="19">
        <v>34700</v>
      </c>
    </row>
    <row r="988" spans="1:12" ht="18" customHeight="1">
      <c r="A988" s="16" t="s">
        <v>6339</v>
      </c>
      <c r="B988" s="17" t="s">
        <v>6340</v>
      </c>
      <c r="C988" s="18" t="s">
        <v>6341</v>
      </c>
      <c r="D988" s="18" t="s">
        <v>6342</v>
      </c>
      <c r="E988" s="18" t="s">
        <v>6343</v>
      </c>
      <c r="F988" s="18" t="s">
        <v>2547</v>
      </c>
      <c r="G988" s="18" t="s">
        <v>237</v>
      </c>
      <c r="H988" s="18" t="s">
        <v>504</v>
      </c>
      <c r="I988" s="18" t="s">
        <v>6344</v>
      </c>
      <c r="J988" s="18" t="s">
        <v>6345</v>
      </c>
      <c r="K988" s="18" t="s">
        <v>6346</v>
      </c>
      <c r="L988" s="19">
        <v>81400</v>
      </c>
    </row>
    <row r="989" spans="1:12" ht="18" customHeight="1">
      <c r="A989" s="16" t="s">
        <v>6347</v>
      </c>
      <c r="B989" s="17" t="s">
        <v>6348</v>
      </c>
      <c r="C989" s="18" t="s">
        <v>6349</v>
      </c>
      <c r="D989" s="18" t="s">
        <v>6350</v>
      </c>
      <c r="E989" s="18" t="s">
        <v>6351</v>
      </c>
      <c r="F989" s="18" t="s">
        <v>2547</v>
      </c>
      <c r="G989" s="18" t="s">
        <v>237</v>
      </c>
      <c r="H989" s="18" t="s">
        <v>504</v>
      </c>
      <c r="I989" s="18" t="s">
        <v>6352</v>
      </c>
      <c r="J989" s="18" t="s">
        <v>6353</v>
      </c>
      <c r="K989" s="18" t="s">
        <v>1054</v>
      </c>
      <c r="L989" s="19">
        <v>81040</v>
      </c>
    </row>
    <row r="990" spans="1:12" ht="18" customHeight="1">
      <c r="A990" s="16" t="s">
        <v>6354</v>
      </c>
      <c r="B990" s="17" t="s">
        <v>6355</v>
      </c>
      <c r="C990" s="18" t="s">
        <v>6356</v>
      </c>
      <c r="D990" s="18" t="s">
        <v>6357</v>
      </c>
      <c r="E990" s="18" t="s">
        <v>6358</v>
      </c>
      <c r="F990" s="18" t="s">
        <v>2547</v>
      </c>
      <c r="G990" s="18" t="s">
        <v>237</v>
      </c>
      <c r="H990" s="18" t="s">
        <v>1153</v>
      </c>
      <c r="I990" s="18" t="s">
        <v>6359</v>
      </c>
      <c r="J990" s="18" t="s">
        <v>6360</v>
      </c>
      <c r="K990" s="18" t="s">
        <v>6361</v>
      </c>
      <c r="L990" s="19">
        <v>68770</v>
      </c>
    </row>
    <row r="991" spans="1:12" ht="18" customHeight="1">
      <c r="A991" s="16" t="s">
        <v>6362</v>
      </c>
      <c r="B991" s="17" t="s">
        <v>6363</v>
      </c>
      <c r="C991" s="18" t="s">
        <v>6364</v>
      </c>
      <c r="D991" s="18" t="s">
        <v>6365</v>
      </c>
      <c r="E991" s="18" t="s">
        <v>6366</v>
      </c>
      <c r="F991" s="18" t="s">
        <v>2547</v>
      </c>
      <c r="G991" s="18" t="s">
        <v>237</v>
      </c>
      <c r="H991" s="18" t="s">
        <v>76</v>
      </c>
      <c r="I991" s="18" t="s">
        <v>6367</v>
      </c>
      <c r="J991" s="18" t="s">
        <v>6368</v>
      </c>
      <c r="K991" s="18" t="s">
        <v>6369</v>
      </c>
      <c r="L991" s="19">
        <v>23940</v>
      </c>
    </row>
    <row r="992" spans="1:12" ht="18" customHeight="1">
      <c r="A992" s="16" t="s">
        <v>6370</v>
      </c>
      <c r="B992" s="17" t="s">
        <v>6371</v>
      </c>
      <c r="C992" s="18" t="s">
        <v>6372</v>
      </c>
      <c r="D992" s="18" t="s">
        <v>6373</v>
      </c>
      <c r="E992" s="18" t="s">
        <v>6374</v>
      </c>
      <c r="F992" s="18" t="s">
        <v>2547</v>
      </c>
      <c r="G992" s="18" t="s">
        <v>237</v>
      </c>
      <c r="H992" s="18" t="s">
        <v>616</v>
      </c>
      <c r="I992" s="18" t="s">
        <v>6375</v>
      </c>
      <c r="J992" s="18" t="s">
        <v>6376</v>
      </c>
      <c r="K992" s="18" t="s">
        <v>6377</v>
      </c>
      <c r="L992" s="19">
        <v>93550</v>
      </c>
    </row>
    <row r="993" spans="1:12" ht="18" customHeight="1">
      <c r="A993" s="16" t="s">
        <v>6378</v>
      </c>
      <c r="B993" s="17" t="s">
        <v>6379</v>
      </c>
      <c r="C993" s="18" t="s">
        <v>6380</v>
      </c>
      <c r="D993" s="18" t="s">
        <v>6381</v>
      </c>
      <c r="E993" s="18" t="s">
        <v>6382</v>
      </c>
      <c r="F993" s="18" t="s">
        <v>2547</v>
      </c>
      <c r="G993" s="18" t="s">
        <v>237</v>
      </c>
      <c r="H993" s="18" t="s">
        <v>228</v>
      </c>
      <c r="I993" s="18" t="s">
        <v>6383</v>
      </c>
      <c r="J993" s="18" t="s">
        <v>6384</v>
      </c>
      <c r="K993" s="18" t="s">
        <v>6385</v>
      </c>
      <c r="L993" s="19">
        <v>98640</v>
      </c>
    </row>
    <row r="994" spans="1:12" ht="18" customHeight="1">
      <c r="A994" s="16" t="s">
        <v>6386</v>
      </c>
      <c r="B994" s="17" t="s">
        <v>6387</v>
      </c>
      <c r="C994" s="18" t="s">
        <v>6388</v>
      </c>
      <c r="D994" s="18" t="s">
        <v>6389</v>
      </c>
      <c r="E994" s="18" t="s">
        <v>6390</v>
      </c>
      <c r="F994" s="18" t="s">
        <v>2547</v>
      </c>
      <c r="G994" s="18" t="s">
        <v>237</v>
      </c>
      <c r="H994" s="18" t="s">
        <v>84</v>
      </c>
      <c r="I994" s="18" t="s">
        <v>6391</v>
      </c>
      <c r="J994" s="18" t="s">
        <v>6392</v>
      </c>
      <c r="K994" s="18" t="s">
        <v>6393</v>
      </c>
      <c r="L994" s="19">
        <v>24800</v>
      </c>
    </row>
    <row r="995" spans="1:12" ht="18" customHeight="1">
      <c r="A995" s="16" t="s">
        <v>6394</v>
      </c>
      <c r="B995" s="17" t="s">
        <v>6395</v>
      </c>
      <c r="C995" s="18" t="s">
        <v>6396</v>
      </c>
      <c r="D995" s="18" t="s">
        <v>6397</v>
      </c>
      <c r="E995" s="18" t="s">
        <v>6398</v>
      </c>
      <c r="F995" s="18" t="s">
        <v>2547</v>
      </c>
      <c r="G995" s="18" t="s">
        <v>237</v>
      </c>
      <c r="H995" s="18" t="s">
        <v>84</v>
      </c>
      <c r="I995" s="18" t="s">
        <v>6399</v>
      </c>
      <c r="J995" s="18" t="s">
        <v>6400</v>
      </c>
      <c r="K995" s="18" t="s">
        <v>6401</v>
      </c>
      <c r="L995" s="19">
        <v>24600</v>
      </c>
    </row>
    <row r="996" spans="1:12" ht="18" customHeight="1">
      <c r="A996" s="16" t="s">
        <v>6402</v>
      </c>
      <c r="B996" s="17" t="s">
        <v>6403</v>
      </c>
      <c r="C996" s="18" t="s">
        <v>6404</v>
      </c>
      <c r="D996" s="18" t="s">
        <v>6405</v>
      </c>
      <c r="E996" s="18" t="s">
        <v>6406</v>
      </c>
      <c r="F996" s="18" t="s">
        <v>2547</v>
      </c>
      <c r="G996" s="18" t="s">
        <v>237</v>
      </c>
      <c r="H996" s="18" t="s">
        <v>221</v>
      </c>
      <c r="I996" s="18" t="s">
        <v>6407</v>
      </c>
      <c r="J996" s="18" t="s">
        <v>6408</v>
      </c>
      <c r="K996" s="18" t="s">
        <v>4983</v>
      </c>
      <c r="L996" s="19">
        <v>90500</v>
      </c>
    </row>
    <row r="997" spans="1:12" ht="18" customHeight="1">
      <c r="A997" s="16" t="s">
        <v>6409</v>
      </c>
      <c r="B997" s="17" t="s">
        <v>6410</v>
      </c>
      <c r="C997" s="18" t="s">
        <v>6411</v>
      </c>
      <c r="D997" s="18" t="s">
        <v>6412</v>
      </c>
      <c r="E997" s="18" t="s">
        <v>6413</v>
      </c>
      <c r="F997" s="18" t="s">
        <v>2547</v>
      </c>
      <c r="G997" s="18" t="s">
        <v>237</v>
      </c>
      <c r="H997" s="18" t="s">
        <v>136</v>
      </c>
      <c r="I997" s="18" t="s">
        <v>6414</v>
      </c>
      <c r="J997" s="18" t="s">
        <v>6415</v>
      </c>
      <c r="K997" s="18" t="s">
        <v>136</v>
      </c>
      <c r="L997" s="19">
        <v>41203</v>
      </c>
    </row>
    <row r="998" spans="1:12" ht="18" customHeight="1">
      <c r="A998" s="16" t="s">
        <v>6416</v>
      </c>
      <c r="B998" s="17" t="s">
        <v>6417</v>
      </c>
      <c r="C998" s="18" t="s">
        <v>6418</v>
      </c>
      <c r="D998" s="18" t="s">
        <v>6419</v>
      </c>
      <c r="E998" s="18" t="s">
        <v>6420</v>
      </c>
      <c r="F998" s="18" t="s">
        <v>2547</v>
      </c>
      <c r="G998" s="18" t="s">
        <v>237</v>
      </c>
      <c r="H998" s="18" t="s">
        <v>197</v>
      </c>
      <c r="I998" s="18" t="s">
        <v>6421</v>
      </c>
      <c r="J998" s="18" t="s">
        <v>6422</v>
      </c>
      <c r="K998" s="18" t="s">
        <v>197</v>
      </c>
      <c r="L998" s="19">
        <v>85950</v>
      </c>
    </row>
    <row r="999" spans="1:12" ht="18" customHeight="1">
      <c r="A999" s="16" t="s">
        <v>6423</v>
      </c>
      <c r="B999" s="17" t="s">
        <v>6424</v>
      </c>
      <c r="C999" s="18" t="s">
        <v>6425</v>
      </c>
      <c r="D999" s="18" t="s">
        <v>6426</v>
      </c>
      <c r="E999" s="18" t="s">
        <v>6427</v>
      </c>
      <c r="F999" s="18" t="s">
        <v>2547</v>
      </c>
      <c r="G999" s="18" t="s">
        <v>237</v>
      </c>
      <c r="H999" s="18" t="s">
        <v>616</v>
      </c>
      <c r="I999" s="18" t="s">
        <v>6428</v>
      </c>
      <c r="J999" s="18" t="s">
        <v>6429</v>
      </c>
      <c r="K999" s="18" t="s">
        <v>6430</v>
      </c>
      <c r="L999" s="19">
        <v>94100</v>
      </c>
    </row>
    <row r="1000" spans="1:12" ht="18" customHeight="1">
      <c r="A1000" s="16" t="s">
        <v>6431</v>
      </c>
      <c r="B1000" s="17" t="s">
        <v>6432</v>
      </c>
      <c r="C1000" s="18" t="s">
        <v>6433</v>
      </c>
      <c r="D1000" s="18" t="s">
        <v>6434</v>
      </c>
      <c r="E1000" s="18" t="s">
        <v>6435</v>
      </c>
      <c r="F1000" s="18" t="s">
        <v>2547</v>
      </c>
      <c r="G1000" s="18" t="s">
        <v>237</v>
      </c>
      <c r="H1000" s="18" t="s">
        <v>1153</v>
      </c>
      <c r="I1000" s="18" t="s">
        <v>6436</v>
      </c>
      <c r="J1000" s="18" t="s">
        <v>6437</v>
      </c>
      <c r="K1000" s="18" t="s">
        <v>6438</v>
      </c>
      <c r="L1000" s="19">
        <v>68500</v>
      </c>
    </row>
    <row r="1001" spans="1:12" ht="18" customHeight="1">
      <c r="A1001" s="16" t="s">
        <v>6439</v>
      </c>
      <c r="B1001" s="17" t="s">
        <v>6440</v>
      </c>
      <c r="C1001" s="18" t="s">
        <v>6441</v>
      </c>
      <c r="D1001" s="18" t="s">
        <v>6442</v>
      </c>
      <c r="E1001" s="18" t="s">
        <v>6443</v>
      </c>
      <c r="F1001" s="18" t="s">
        <v>2547</v>
      </c>
      <c r="G1001" s="18" t="s">
        <v>237</v>
      </c>
      <c r="H1001" s="18" t="s">
        <v>616</v>
      </c>
      <c r="I1001" s="18" t="s">
        <v>6444</v>
      </c>
      <c r="J1001" s="18" t="s">
        <v>6445</v>
      </c>
      <c r="K1001" s="18" t="s">
        <v>6446</v>
      </c>
      <c r="L1001" s="19">
        <v>92600</v>
      </c>
    </row>
    <row r="1002" spans="1:12" ht="18" customHeight="1">
      <c r="A1002" s="16" t="s">
        <v>6447</v>
      </c>
      <c r="B1002" s="17" t="s">
        <v>6448</v>
      </c>
      <c r="C1002" s="18" t="s">
        <v>6449</v>
      </c>
      <c r="D1002" s="18" t="s">
        <v>6450</v>
      </c>
      <c r="E1002" s="18" t="s">
        <v>6451</v>
      </c>
      <c r="F1002" s="18" t="s">
        <v>2547</v>
      </c>
      <c r="G1002" s="18" t="s">
        <v>237</v>
      </c>
      <c r="H1002" s="18" t="s">
        <v>583</v>
      </c>
      <c r="I1002" s="18" t="s">
        <v>6452</v>
      </c>
      <c r="J1002" s="18" t="s">
        <v>6453</v>
      </c>
      <c r="K1002" s="18" t="s">
        <v>583</v>
      </c>
      <c r="L1002" s="19">
        <v>42400</v>
      </c>
    </row>
    <row r="1003" spans="1:12" ht="18" customHeight="1">
      <c r="A1003" s="16" t="s">
        <v>6454</v>
      </c>
      <c r="B1003" s="17" t="s">
        <v>6455</v>
      </c>
      <c r="C1003" s="18" t="s">
        <v>6456</v>
      </c>
      <c r="D1003" s="18" t="s">
        <v>6457</v>
      </c>
      <c r="E1003" s="18" t="s">
        <v>6458</v>
      </c>
      <c r="F1003" s="18" t="s">
        <v>2547</v>
      </c>
      <c r="G1003" s="18" t="s">
        <v>237</v>
      </c>
      <c r="H1003" s="18" t="s">
        <v>1186</v>
      </c>
      <c r="I1003" s="18" t="s">
        <v>6459</v>
      </c>
      <c r="J1003" s="18" t="s">
        <v>6460</v>
      </c>
      <c r="K1003" s="18" t="s">
        <v>6461</v>
      </c>
      <c r="L1003" s="19">
        <v>61940</v>
      </c>
    </row>
    <row r="1004" spans="1:12" ht="18" customHeight="1">
      <c r="A1004" s="16" t="s">
        <v>6462</v>
      </c>
      <c r="B1004" s="17" t="s">
        <v>6463</v>
      </c>
      <c r="C1004" s="18" t="s">
        <v>6464</v>
      </c>
      <c r="D1004" s="18" t="s">
        <v>6465</v>
      </c>
      <c r="E1004" s="18" t="s">
        <v>6466</v>
      </c>
      <c r="F1004" s="18" t="s">
        <v>2547</v>
      </c>
      <c r="G1004" s="18" t="s">
        <v>237</v>
      </c>
      <c r="H1004" s="18" t="s">
        <v>205</v>
      </c>
      <c r="I1004" s="18" t="s">
        <v>6467</v>
      </c>
      <c r="J1004" s="18" t="s">
        <v>6468</v>
      </c>
      <c r="K1004" s="18" t="s">
        <v>6469</v>
      </c>
      <c r="L1004" s="19">
        <v>86400</v>
      </c>
    </row>
    <row r="1005" spans="1:12" ht="18" customHeight="1">
      <c r="A1005" s="16" t="s">
        <v>6470</v>
      </c>
      <c r="B1005" s="17" t="s">
        <v>6471</v>
      </c>
      <c r="C1005" s="18" t="s">
        <v>6472</v>
      </c>
      <c r="D1005" s="18" t="s">
        <v>6473</v>
      </c>
      <c r="E1005" s="18" t="s">
        <v>6474</v>
      </c>
      <c r="F1005" s="18" t="s">
        <v>2547</v>
      </c>
      <c r="G1005" s="18" t="s">
        <v>237</v>
      </c>
      <c r="H1005" s="18" t="s">
        <v>136</v>
      </c>
      <c r="I1005" s="18" t="s">
        <v>6475</v>
      </c>
      <c r="J1005" s="18" t="s">
        <v>6476</v>
      </c>
      <c r="K1005" s="18" t="s">
        <v>6477</v>
      </c>
      <c r="L1005" s="19">
        <v>40130</v>
      </c>
    </row>
    <row r="1006" spans="1:12" ht="18" customHeight="1">
      <c r="A1006" s="16" t="s">
        <v>6478</v>
      </c>
      <c r="B1006" s="17" t="s">
        <v>6479</v>
      </c>
      <c r="C1006" s="18" t="s">
        <v>6480</v>
      </c>
      <c r="D1006" s="18" t="s">
        <v>6481</v>
      </c>
      <c r="E1006" s="18" t="s">
        <v>6482</v>
      </c>
      <c r="F1006" s="18" t="s">
        <v>2547</v>
      </c>
      <c r="G1006" s="18" t="s">
        <v>237</v>
      </c>
      <c r="H1006" s="18" t="s">
        <v>91</v>
      </c>
      <c r="I1006" s="18" t="s">
        <v>6483</v>
      </c>
      <c r="J1006" s="18" t="s">
        <v>6484</v>
      </c>
      <c r="K1006" s="18" t="s">
        <v>6485</v>
      </c>
      <c r="L1006" s="19">
        <v>30640</v>
      </c>
    </row>
    <row r="1007" spans="1:12" ht="18" customHeight="1">
      <c r="A1007" s="16" t="s">
        <v>6486</v>
      </c>
      <c r="B1007" s="17" t="s">
        <v>6487</v>
      </c>
      <c r="C1007" s="18" t="s">
        <v>6488</v>
      </c>
      <c r="D1007" s="18" t="s">
        <v>6489</v>
      </c>
      <c r="E1007" s="18" t="s">
        <v>6490</v>
      </c>
      <c r="F1007" s="18" t="s">
        <v>2547</v>
      </c>
      <c r="G1007" s="18" t="s">
        <v>237</v>
      </c>
      <c r="H1007" s="18" t="s">
        <v>68</v>
      </c>
      <c r="I1007" s="18" t="s">
        <v>6491</v>
      </c>
      <c r="J1007" s="18" t="s">
        <v>6492</v>
      </c>
      <c r="K1007" s="18" t="s">
        <v>1526</v>
      </c>
      <c r="L1007" s="19">
        <v>22990</v>
      </c>
    </row>
    <row r="1008" spans="1:12" ht="18" customHeight="1">
      <c r="A1008" s="16" t="s">
        <v>6493</v>
      </c>
      <c r="B1008" s="17" t="s">
        <v>6494</v>
      </c>
      <c r="C1008" s="18" t="s">
        <v>6495</v>
      </c>
      <c r="D1008" s="18" t="s">
        <v>6496</v>
      </c>
      <c r="E1008" s="18" t="s">
        <v>6497</v>
      </c>
      <c r="F1008" s="18" t="s">
        <v>2547</v>
      </c>
      <c r="G1008" s="18" t="s">
        <v>237</v>
      </c>
      <c r="H1008" s="18" t="s">
        <v>182</v>
      </c>
      <c r="I1008" s="18" t="s">
        <v>6498</v>
      </c>
      <c r="J1008" s="18" t="s">
        <v>6499</v>
      </c>
      <c r="K1008" s="18" t="s">
        <v>6500</v>
      </c>
      <c r="L1008" s="19">
        <v>77400</v>
      </c>
    </row>
    <row r="1009" spans="1:12" ht="18" customHeight="1">
      <c r="A1009" s="16" t="s">
        <v>6501</v>
      </c>
      <c r="B1009" s="17" t="s">
        <v>6502</v>
      </c>
      <c r="C1009" s="18" t="s">
        <v>6503</v>
      </c>
      <c r="D1009" s="18" t="s">
        <v>6504</v>
      </c>
      <c r="E1009" s="18" t="s">
        <v>6505</v>
      </c>
      <c r="F1009" s="18" t="s">
        <v>2547</v>
      </c>
      <c r="G1009" s="18" t="s">
        <v>237</v>
      </c>
      <c r="H1009" s="18" t="s">
        <v>152</v>
      </c>
      <c r="I1009" s="18" t="s">
        <v>6506</v>
      </c>
      <c r="J1009" s="18" t="s">
        <v>6507</v>
      </c>
      <c r="K1009" s="18" t="s">
        <v>6508</v>
      </c>
      <c r="L1009" s="19">
        <v>63959</v>
      </c>
    </row>
    <row r="1010" spans="1:12" ht="18" customHeight="1">
      <c r="A1010" s="16" t="s">
        <v>6509</v>
      </c>
      <c r="B1010" s="17" t="s">
        <v>6510</v>
      </c>
      <c r="C1010" s="18" t="s">
        <v>6511</v>
      </c>
      <c r="D1010" s="18" t="s">
        <v>6512</v>
      </c>
      <c r="E1010" s="18" t="s">
        <v>6513</v>
      </c>
      <c r="F1010" s="18" t="s">
        <v>2547</v>
      </c>
      <c r="G1010" s="18" t="s">
        <v>237</v>
      </c>
      <c r="H1010" s="18" t="s">
        <v>144</v>
      </c>
      <c r="I1010" s="18" t="s">
        <v>6514</v>
      </c>
      <c r="J1010" s="18" t="s">
        <v>6515</v>
      </c>
      <c r="K1010" s="18" t="s">
        <v>6516</v>
      </c>
      <c r="L1010" s="19">
        <v>97540</v>
      </c>
    </row>
    <row r="1011" spans="1:12" ht="18" customHeight="1">
      <c r="A1011" s="16" t="s">
        <v>6517</v>
      </c>
      <c r="B1011" s="17" t="s">
        <v>6518</v>
      </c>
      <c r="C1011" s="18" t="s">
        <v>6519</v>
      </c>
      <c r="D1011" s="18" t="s">
        <v>6520</v>
      </c>
      <c r="E1011" s="18" t="s">
        <v>6521</v>
      </c>
      <c r="F1011" s="18" t="s">
        <v>2547</v>
      </c>
      <c r="G1011" s="18" t="s">
        <v>237</v>
      </c>
      <c r="H1011" s="18" t="s">
        <v>168</v>
      </c>
      <c r="I1011" s="18" t="s">
        <v>6522</v>
      </c>
      <c r="J1011" s="18" t="s">
        <v>6523</v>
      </c>
      <c r="K1011" s="18" t="s">
        <v>4963</v>
      </c>
      <c r="L1011" s="19">
        <v>74470</v>
      </c>
    </row>
    <row r="1012" spans="1:12" ht="18" customHeight="1">
      <c r="A1012" s="16" t="s">
        <v>6524</v>
      </c>
      <c r="B1012" s="17" t="s">
        <v>6525</v>
      </c>
      <c r="C1012" s="18" t="s">
        <v>6526</v>
      </c>
      <c r="D1012" s="18" t="s">
        <v>6527</v>
      </c>
      <c r="E1012" s="18" t="s">
        <v>6528</v>
      </c>
      <c r="F1012" s="18" t="s">
        <v>2547</v>
      </c>
      <c r="G1012" s="18" t="s">
        <v>237</v>
      </c>
      <c r="H1012" s="18" t="s">
        <v>583</v>
      </c>
      <c r="I1012" s="18" t="s">
        <v>6529</v>
      </c>
      <c r="J1012" s="18" t="s">
        <v>6530</v>
      </c>
      <c r="K1012" s="18" t="s">
        <v>6531</v>
      </c>
      <c r="L1012" s="19">
        <v>42200</v>
      </c>
    </row>
    <row r="1013" spans="1:12" ht="18" customHeight="1">
      <c r="A1013" s="16" t="s">
        <v>6532</v>
      </c>
      <c r="B1013" s="17" t="s">
        <v>6533</v>
      </c>
      <c r="C1013" s="18" t="s">
        <v>6534</v>
      </c>
      <c r="D1013" s="18" t="s">
        <v>6535</v>
      </c>
      <c r="E1013" s="18" t="s">
        <v>6536</v>
      </c>
      <c r="F1013" s="18" t="s">
        <v>2547</v>
      </c>
      <c r="G1013" s="18" t="s">
        <v>237</v>
      </c>
      <c r="H1013" s="18" t="s">
        <v>152</v>
      </c>
      <c r="I1013" s="18" t="s">
        <v>6537</v>
      </c>
      <c r="J1013" s="18" t="s">
        <v>6538</v>
      </c>
      <c r="K1013" s="18" t="s">
        <v>6539</v>
      </c>
      <c r="L1013" s="19">
        <v>63880</v>
      </c>
    </row>
    <row r="1014" spans="1:12" ht="18" customHeight="1">
      <c r="A1014" s="16" t="s">
        <v>6540</v>
      </c>
      <c r="B1014" s="17" t="s">
        <v>6541</v>
      </c>
      <c r="C1014" s="18" t="s">
        <v>6542</v>
      </c>
      <c r="D1014" s="18" t="s">
        <v>6543</v>
      </c>
      <c r="E1014" s="18" t="s">
        <v>6544</v>
      </c>
      <c r="F1014" s="18" t="s">
        <v>2547</v>
      </c>
      <c r="G1014" s="18" t="s">
        <v>237</v>
      </c>
      <c r="H1014" s="18" t="s">
        <v>228</v>
      </c>
      <c r="I1014" s="18" t="s">
        <v>6545</v>
      </c>
      <c r="J1014" s="18" t="s">
        <v>6546</v>
      </c>
      <c r="K1014" s="18" t="s">
        <v>6547</v>
      </c>
      <c r="L1014" s="19">
        <v>99601</v>
      </c>
    </row>
    <row r="1015" spans="1:12" ht="18" customHeight="1">
      <c r="A1015" s="16" t="s">
        <v>6548</v>
      </c>
      <c r="B1015" s="17" t="s">
        <v>6549</v>
      </c>
      <c r="C1015" s="18" t="s">
        <v>6550</v>
      </c>
      <c r="D1015" s="18" t="s">
        <v>6551</v>
      </c>
      <c r="E1015" s="18" t="s">
        <v>6552</v>
      </c>
      <c r="F1015" s="18" t="s">
        <v>2547</v>
      </c>
      <c r="G1015" s="18" t="s">
        <v>237</v>
      </c>
      <c r="H1015" s="18" t="s">
        <v>205</v>
      </c>
      <c r="I1015" s="18" t="s">
        <v>6553</v>
      </c>
      <c r="J1015" s="18" t="s">
        <v>6554</v>
      </c>
      <c r="K1015" s="18" t="s">
        <v>6555</v>
      </c>
      <c r="L1015" s="19">
        <v>86200</v>
      </c>
    </row>
    <row r="1016" spans="1:12" ht="18" customHeight="1">
      <c r="A1016" s="16" t="s">
        <v>6556</v>
      </c>
      <c r="B1016" s="17" t="s">
        <v>6557</v>
      </c>
      <c r="C1016" s="18" t="s">
        <v>6558</v>
      </c>
      <c r="D1016" s="18" t="s">
        <v>6559</v>
      </c>
      <c r="E1016" s="18" t="s">
        <v>6560</v>
      </c>
      <c r="F1016" s="18" t="s">
        <v>2547</v>
      </c>
      <c r="G1016" s="18" t="s">
        <v>237</v>
      </c>
      <c r="H1016" s="18" t="s">
        <v>175</v>
      </c>
      <c r="I1016" s="18" t="s">
        <v>6561</v>
      </c>
      <c r="J1016" s="18" t="s">
        <v>6562</v>
      </c>
      <c r="K1016" s="18" t="s">
        <v>6563</v>
      </c>
      <c r="L1016" s="19">
        <v>76340</v>
      </c>
    </row>
    <row r="1017" spans="1:12" ht="18" customHeight="1">
      <c r="A1017" s="16" t="s">
        <v>6564</v>
      </c>
      <c r="B1017" s="17" t="s">
        <v>6565</v>
      </c>
      <c r="C1017" s="18" t="s">
        <v>6566</v>
      </c>
      <c r="D1017" s="18" t="s">
        <v>6567</v>
      </c>
      <c r="E1017" s="18" t="s">
        <v>6568</v>
      </c>
      <c r="F1017" s="18" t="s">
        <v>2547</v>
      </c>
      <c r="G1017" s="18" t="s">
        <v>237</v>
      </c>
      <c r="H1017" s="18" t="s">
        <v>213</v>
      </c>
      <c r="I1017" s="18" t="s">
        <v>6569</v>
      </c>
      <c r="J1017" s="18" t="s">
        <v>6570</v>
      </c>
      <c r="K1017" s="18" t="s">
        <v>6571</v>
      </c>
      <c r="L1017" s="19">
        <v>87930</v>
      </c>
    </row>
    <row r="1018" spans="1:12" ht="18" customHeight="1">
      <c r="A1018" s="16" t="s">
        <v>6572</v>
      </c>
      <c r="B1018" s="17" t="s">
        <v>6573</v>
      </c>
      <c r="C1018" s="18" t="s">
        <v>6574</v>
      </c>
      <c r="D1018" s="18" t="s">
        <v>6575</v>
      </c>
      <c r="E1018" s="18" t="s">
        <v>6576</v>
      </c>
      <c r="F1018" s="18" t="s">
        <v>2547</v>
      </c>
      <c r="G1018" s="18" t="s">
        <v>237</v>
      </c>
      <c r="H1018" s="18" t="s">
        <v>228</v>
      </c>
      <c r="I1018" s="18" t="s">
        <v>6577</v>
      </c>
      <c r="J1018" s="18" t="s">
        <v>6578</v>
      </c>
      <c r="K1018" s="18" t="s">
        <v>6579</v>
      </c>
      <c r="L1018" s="19">
        <v>99300</v>
      </c>
    </row>
    <row r="1019" spans="1:12" ht="18" customHeight="1">
      <c r="A1019" s="16" t="s">
        <v>6580</v>
      </c>
      <c r="B1019" s="17" t="s">
        <v>6581</v>
      </c>
      <c r="C1019" s="18" t="s">
        <v>6582</v>
      </c>
      <c r="D1019" s="18" t="s">
        <v>6583</v>
      </c>
      <c r="E1019" s="18" t="s">
        <v>6584</v>
      </c>
      <c r="F1019" s="18" t="s">
        <v>2547</v>
      </c>
      <c r="G1019" s="18" t="s">
        <v>237</v>
      </c>
      <c r="H1019" s="18" t="s">
        <v>294</v>
      </c>
      <c r="I1019" s="18" t="s">
        <v>6585</v>
      </c>
      <c r="J1019" s="18" t="s">
        <v>6586</v>
      </c>
      <c r="K1019" s="18" t="s">
        <v>6587</v>
      </c>
      <c r="L1019" s="19">
        <v>54240</v>
      </c>
    </row>
    <row r="1020" spans="1:12" ht="18" customHeight="1">
      <c r="A1020" s="16" t="s">
        <v>6588</v>
      </c>
      <c r="B1020" s="17" t="s">
        <v>6589</v>
      </c>
      <c r="C1020" s="18" t="s">
        <v>6590</v>
      </c>
      <c r="D1020" s="18" t="s">
        <v>6591</v>
      </c>
      <c r="E1020" s="18" t="s">
        <v>6592</v>
      </c>
      <c r="F1020" s="18" t="s">
        <v>2547</v>
      </c>
      <c r="G1020" s="18" t="s">
        <v>237</v>
      </c>
      <c r="H1020" s="18" t="s">
        <v>1186</v>
      </c>
      <c r="I1020" s="18" t="s">
        <v>6593</v>
      </c>
      <c r="J1020" s="18" t="s">
        <v>6594</v>
      </c>
      <c r="K1020" s="18" t="s">
        <v>1864</v>
      </c>
      <c r="L1020" s="19">
        <v>59510</v>
      </c>
    </row>
    <row r="1021" spans="1:12" ht="18" customHeight="1">
      <c r="A1021" s="16" t="s">
        <v>6595</v>
      </c>
      <c r="B1021" s="17" t="s">
        <v>6596</v>
      </c>
      <c r="C1021" s="18" t="s">
        <v>6597</v>
      </c>
      <c r="D1021" s="18" t="s">
        <v>6598</v>
      </c>
      <c r="E1021" s="18" t="s">
        <v>6599</v>
      </c>
      <c r="F1021" s="18" t="s">
        <v>2547</v>
      </c>
      <c r="G1021" s="18" t="s">
        <v>237</v>
      </c>
      <c r="H1021" s="18" t="s">
        <v>91</v>
      </c>
      <c r="I1021" s="18" t="s">
        <v>6600</v>
      </c>
      <c r="J1021" s="18" t="s">
        <v>6601</v>
      </c>
      <c r="K1021" s="18" t="s">
        <v>6602</v>
      </c>
      <c r="L1021" s="19">
        <v>30430</v>
      </c>
    </row>
    <row r="1022" spans="1:12" ht="18" customHeight="1">
      <c r="A1022" s="16" t="s">
        <v>6603</v>
      </c>
      <c r="B1022" s="17" t="s">
        <v>6604</v>
      </c>
      <c r="C1022" s="18" t="s">
        <v>6605</v>
      </c>
      <c r="D1022" s="18" t="s">
        <v>6606</v>
      </c>
      <c r="E1022" s="18" t="s">
        <v>6607</v>
      </c>
      <c r="F1022" s="18" t="s">
        <v>2547</v>
      </c>
      <c r="G1022" s="18" t="s">
        <v>237</v>
      </c>
      <c r="H1022" s="18" t="s">
        <v>351</v>
      </c>
      <c r="I1022" s="18" t="s">
        <v>6608</v>
      </c>
      <c r="J1022" s="18" t="s">
        <v>6609</v>
      </c>
      <c r="K1022" s="18" t="s">
        <v>6610</v>
      </c>
      <c r="L1022" s="19">
        <v>62930</v>
      </c>
    </row>
    <row r="1023" spans="1:12" ht="18" customHeight="1">
      <c r="A1023" s="16" t="s">
        <v>6611</v>
      </c>
      <c r="B1023" s="17" t="s">
        <v>6612</v>
      </c>
      <c r="C1023" s="18" t="s">
        <v>6613</v>
      </c>
      <c r="D1023" s="18" t="s">
        <v>6614</v>
      </c>
      <c r="E1023" s="18" t="s">
        <v>6615</v>
      </c>
      <c r="F1023" s="18" t="s">
        <v>2547</v>
      </c>
      <c r="G1023" s="18" t="s">
        <v>237</v>
      </c>
      <c r="H1023" s="18" t="s">
        <v>121</v>
      </c>
      <c r="I1023" s="18" t="s">
        <v>6616</v>
      </c>
      <c r="J1023" s="18" t="s">
        <v>6617</v>
      </c>
      <c r="K1023" s="18" t="s">
        <v>6618</v>
      </c>
      <c r="L1023" s="19">
        <v>34463</v>
      </c>
    </row>
    <row r="1024" spans="1:12" ht="18" customHeight="1">
      <c r="A1024" s="16" t="s">
        <v>6619</v>
      </c>
      <c r="B1024" s="17" t="s">
        <v>6620</v>
      </c>
      <c r="C1024" s="18" t="s">
        <v>6621</v>
      </c>
      <c r="D1024" s="18" t="s">
        <v>6622</v>
      </c>
      <c r="E1024" s="18" t="s">
        <v>6623</v>
      </c>
      <c r="F1024" s="18" t="s">
        <v>2547</v>
      </c>
      <c r="G1024" s="18" t="s">
        <v>237</v>
      </c>
      <c r="H1024" s="18" t="s">
        <v>182</v>
      </c>
      <c r="I1024" s="18" t="s">
        <v>6624</v>
      </c>
      <c r="J1024" s="18" t="s">
        <v>6625</v>
      </c>
      <c r="K1024" s="18" t="s">
        <v>6626</v>
      </c>
      <c r="L1024" s="19">
        <v>77890</v>
      </c>
    </row>
    <row r="1025" spans="1:12" ht="18" customHeight="1">
      <c r="A1025" s="16" t="s">
        <v>6627</v>
      </c>
      <c r="B1025" s="17" t="s">
        <v>6628</v>
      </c>
      <c r="C1025" s="18" t="s">
        <v>6629</v>
      </c>
      <c r="D1025" s="18" t="s">
        <v>6630</v>
      </c>
      <c r="E1025" s="18" t="s">
        <v>6631</v>
      </c>
      <c r="F1025" s="18" t="s">
        <v>2547</v>
      </c>
      <c r="G1025" s="18" t="s">
        <v>237</v>
      </c>
      <c r="H1025" s="18" t="s">
        <v>228</v>
      </c>
      <c r="I1025" s="18" t="s">
        <v>6632</v>
      </c>
      <c r="J1025" s="18" t="s">
        <v>6633</v>
      </c>
      <c r="K1025" s="18" t="s">
        <v>6634</v>
      </c>
      <c r="L1025" s="19">
        <v>98300</v>
      </c>
    </row>
    <row r="1026" spans="1:12" ht="18" customHeight="1">
      <c r="A1026" s="16" t="s">
        <v>6635</v>
      </c>
      <c r="B1026" s="17" t="s">
        <v>6636</v>
      </c>
      <c r="C1026" s="18" t="s">
        <v>6637</v>
      </c>
      <c r="D1026" s="18" t="s">
        <v>6638</v>
      </c>
      <c r="E1026" s="18" t="s">
        <v>6639</v>
      </c>
      <c r="F1026" s="18" t="s">
        <v>2547</v>
      </c>
      <c r="G1026" s="18" t="s">
        <v>237</v>
      </c>
      <c r="H1026" s="18" t="s">
        <v>228</v>
      </c>
      <c r="I1026" s="18" t="s">
        <v>6640</v>
      </c>
      <c r="J1026" s="18" t="s">
        <v>6641</v>
      </c>
      <c r="K1026" s="18" t="s">
        <v>6642</v>
      </c>
      <c r="L1026" s="19">
        <v>99960</v>
      </c>
    </row>
    <row r="1027" spans="1:12" ht="18" customHeight="1">
      <c r="A1027" s="16" t="s">
        <v>6643</v>
      </c>
      <c r="B1027" s="17" t="s">
        <v>6644</v>
      </c>
      <c r="C1027" s="18" t="s">
        <v>6645</v>
      </c>
      <c r="D1027" s="18" t="s">
        <v>6646</v>
      </c>
      <c r="E1027" s="18" t="s">
        <v>6647</v>
      </c>
      <c r="F1027" s="18" t="s">
        <v>2547</v>
      </c>
      <c r="G1027" s="18" t="s">
        <v>237</v>
      </c>
      <c r="H1027" s="18" t="s">
        <v>1153</v>
      </c>
      <c r="I1027" s="18" t="s">
        <v>6648</v>
      </c>
      <c r="J1027" s="18" t="s">
        <v>5925</v>
      </c>
      <c r="K1027" s="18" t="s">
        <v>1153</v>
      </c>
      <c r="L1027" s="19">
        <v>90500</v>
      </c>
    </row>
    <row r="1028" spans="1:12" ht="18" customHeight="1">
      <c r="A1028" s="16" t="s">
        <v>6649</v>
      </c>
      <c r="B1028" s="17" t="s">
        <v>6650</v>
      </c>
      <c r="C1028" s="18" t="s">
        <v>6651</v>
      </c>
      <c r="D1028" s="18" t="s">
        <v>6652</v>
      </c>
      <c r="E1028" s="18" t="s">
        <v>6653</v>
      </c>
      <c r="F1028" s="18" t="s">
        <v>2547</v>
      </c>
      <c r="G1028" s="18" t="s">
        <v>237</v>
      </c>
      <c r="H1028" s="18" t="s">
        <v>128</v>
      </c>
      <c r="I1028" s="18" t="s">
        <v>6654</v>
      </c>
      <c r="J1028" s="18" t="s">
        <v>6655</v>
      </c>
      <c r="K1028" s="18" t="s">
        <v>6656</v>
      </c>
      <c r="L1028" s="19">
        <v>38240</v>
      </c>
    </row>
    <row r="1029" spans="1:12" ht="18" customHeight="1">
      <c r="A1029" s="16" t="s">
        <v>6657</v>
      </c>
      <c r="B1029" s="17" t="s">
        <v>6658</v>
      </c>
      <c r="C1029" s="18" t="s">
        <v>6659</v>
      </c>
      <c r="D1029" s="18" t="s">
        <v>6660</v>
      </c>
      <c r="E1029" s="18" t="s">
        <v>6661</v>
      </c>
      <c r="F1029" s="18" t="s">
        <v>2547</v>
      </c>
      <c r="G1029" s="18" t="s">
        <v>237</v>
      </c>
      <c r="H1029" s="18" t="s">
        <v>182</v>
      </c>
      <c r="I1029" s="18" t="s">
        <v>6662</v>
      </c>
      <c r="J1029" s="18" t="s">
        <v>6663</v>
      </c>
      <c r="K1029" s="18" t="s">
        <v>6664</v>
      </c>
      <c r="L1029" s="19">
        <v>77300</v>
      </c>
    </row>
    <row r="1030" spans="1:12" ht="18" customHeight="1">
      <c r="A1030" s="16" t="s">
        <v>6665</v>
      </c>
      <c r="B1030" s="17" t="s">
        <v>6666</v>
      </c>
      <c r="C1030" s="18" t="s">
        <v>6667</v>
      </c>
      <c r="D1030" s="18" t="s">
        <v>6668</v>
      </c>
      <c r="E1030" s="18" t="s">
        <v>6669</v>
      </c>
      <c r="F1030" s="18" t="s">
        <v>2547</v>
      </c>
      <c r="G1030" s="18" t="s">
        <v>237</v>
      </c>
      <c r="H1030" s="18" t="s">
        <v>632</v>
      </c>
      <c r="I1030" s="18" t="s">
        <v>6670</v>
      </c>
      <c r="J1030" s="18" t="s">
        <v>6671</v>
      </c>
      <c r="K1030" s="18" t="s">
        <v>6672</v>
      </c>
      <c r="L1030" s="19">
        <v>47910</v>
      </c>
    </row>
    <row r="1031" spans="1:12" ht="18" customHeight="1">
      <c r="A1031" s="16" t="s">
        <v>6673</v>
      </c>
      <c r="B1031" s="17" t="s">
        <v>6674</v>
      </c>
      <c r="C1031" s="18" t="s">
        <v>6675</v>
      </c>
      <c r="D1031" s="18" t="s">
        <v>6676</v>
      </c>
      <c r="E1031" s="18" t="s">
        <v>6677</v>
      </c>
      <c r="F1031" s="18" t="s">
        <v>2547</v>
      </c>
      <c r="G1031" s="18" t="s">
        <v>237</v>
      </c>
      <c r="H1031" s="18" t="s">
        <v>504</v>
      </c>
      <c r="I1031" s="18" t="s">
        <v>6678</v>
      </c>
      <c r="J1031" s="18" t="s">
        <v>6679</v>
      </c>
      <c r="K1031" s="18" t="s">
        <v>1644</v>
      </c>
      <c r="L1031" s="19">
        <v>82120</v>
      </c>
    </row>
    <row r="1032" spans="1:12" ht="18" customHeight="1">
      <c r="A1032" s="16" t="s">
        <v>6680</v>
      </c>
      <c r="B1032" s="17" t="s">
        <v>6681</v>
      </c>
      <c r="C1032" s="18" t="s">
        <v>6682</v>
      </c>
      <c r="D1032" s="18" t="s">
        <v>6683</v>
      </c>
      <c r="E1032" s="18" t="s">
        <v>6684</v>
      </c>
      <c r="F1032" s="18" t="s">
        <v>2547</v>
      </c>
      <c r="G1032" s="18" t="s">
        <v>237</v>
      </c>
      <c r="H1032" s="18" t="s">
        <v>1186</v>
      </c>
      <c r="I1032" s="18" t="s">
        <v>6685</v>
      </c>
      <c r="J1032" s="18" t="s">
        <v>6686</v>
      </c>
      <c r="K1032" s="18" t="s">
        <v>6687</v>
      </c>
      <c r="L1032" s="19">
        <v>61850</v>
      </c>
    </row>
    <row r="1033" spans="1:12" ht="18" customHeight="1">
      <c r="A1033" s="16" t="s">
        <v>6688</v>
      </c>
      <c r="B1033" s="17" t="s">
        <v>6689</v>
      </c>
      <c r="C1033" s="18" t="s">
        <v>6690</v>
      </c>
      <c r="D1033" s="18" t="s">
        <v>6691</v>
      </c>
      <c r="E1033" s="18" t="s">
        <v>6692</v>
      </c>
      <c r="F1033" s="18" t="s">
        <v>2547</v>
      </c>
      <c r="G1033" s="18" t="s">
        <v>237</v>
      </c>
      <c r="H1033" s="18" t="s">
        <v>632</v>
      </c>
      <c r="I1033" s="18" t="s">
        <v>6693</v>
      </c>
      <c r="J1033" s="18" t="s">
        <v>6694</v>
      </c>
      <c r="K1033" s="18" t="s">
        <v>6695</v>
      </c>
      <c r="L1033" s="19">
        <v>46100</v>
      </c>
    </row>
    <row r="1034" spans="1:12" ht="18" customHeight="1">
      <c r="A1034" s="16" t="s">
        <v>6696</v>
      </c>
      <c r="B1034" s="17" t="s">
        <v>6697</v>
      </c>
      <c r="C1034" s="18" t="s">
        <v>6698</v>
      </c>
      <c r="D1034" s="18" t="s">
        <v>6699</v>
      </c>
      <c r="E1034" s="18" t="s">
        <v>6700</v>
      </c>
      <c r="F1034" s="18" t="s">
        <v>2547</v>
      </c>
      <c r="G1034" s="18" t="s">
        <v>237</v>
      </c>
      <c r="H1034" s="18" t="s">
        <v>121</v>
      </c>
      <c r="I1034" s="18" t="s">
        <v>6701</v>
      </c>
      <c r="J1034" s="18" t="s">
        <v>6702</v>
      </c>
      <c r="K1034" s="18" t="s">
        <v>6703</v>
      </c>
      <c r="L1034" s="19">
        <v>35831</v>
      </c>
    </row>
    <row r="1035" spans="1:12" ht="18" customHeight="1">
      <c r="A1035" s="16" t="s">
        <v>6704</v>
      </c>
      <c r="B1035" s="17" t="s">
        <v>6705</v>
      </c>
      <c r="C1035" s="18" t="s">
        <v>6706</v>
      </c>
      <c r="D1035" s="18" t="s">
        <v>6707</v>
      </c>
      <c r="E1035" s="18" t="s">
        <v>6708</v>
      </c>
      <c r="F1035" s="18" t="s">
        <v>2547</v>
      </c>
      <c r="G1035" s="18" t="s">
        <v>237</v>
      </c>
      <c r="H1035" s="18" t="s">
        <v>152</v>
      </c>
      <c r="I1035" s="18" t="s">
        <v>6709</v>
      </c>
      <c r="J1035" s="18" t="s">
        <v>6710</v>
      </c>
      <c r="K1035" s="18" t="s">
        <v>6711</v>
      </c>
      <c r="L1035" s="19">
        <v>63715</v>
      </c>
    </row>
    <row r="1036" spans="1:12" ht="18" customHeight="1">
      <c r="A1036" s="16" t="s">
        <v>6712</v>
      </c>
      <c r="B1036" s="17" t="s">
        <v>6713</v>
      </c>
      <c r="C1036" s="18" t="s">
        <v>6714</v>
      </c>
      <c r="D1036" s="18" t="s">
        <v>6715</v>
      </c>
      <c r="E1036" s="18" t="s">
        <v>6716</v>
      </c>
      <c r="F1036" s="18" t="s">
        <v>2547</v>
      </c>
      <c r="G1036" s="18" t="s">
        <v>237</v>
      </c>
      <c r="H1036" s="18" t="s">
        <v>136</v>
      </c>
      <c r="I1036" s="18" t="s">
        <v>6717</v>
      </c>
      <c r="J1036" s="18" t="s">
        <v>6718</v>
      </c>
      <c r="K1036" s="18" t="s">
        <v>6719</v>
      </c>
      <c r="L1036" s="19">
        <v>39990</v>
      </c>
    </row>
    <row r="1037" spans="1:12" ht="18" customHeight="1">
      <c r="A1037" s="16" t="s">
        <v>6720</v>
      </c>
      <c r="B1037" s="17" t="s">
        <v>6721</v>
      </c>
      <c r="C1037" s="18" t="s">
        <v>6722</v>
      </c>
      <c r="D1037" s="18" t="s">
        <v>6723</v>
      </c>
      <c r="E1037" s="18" t="s">
        <v>6724</v>
      </c>
      <c r="F1037" s="18" t="s">
        <v>2547</v>
      </c>
      <c r="G1037" s="18" t="s">
        <v>237</v>
      </c>
      <c r="H1037" s="18" t="s">
        <v>616</v>
      </c>
      <c r="I1037" s="18" t="s">
        <v>6725</v>
      </c>
      <c r="J1037" s="18" t="s">
        <v>6726</v>
      </c>
      <c r="K1037" s="18" t="s">
        <v>6727</v>
      </c>
      <c r="L1037" s="19">
        <v>95282</v>
      </c>
    </row>
    <row r="1038" spans="1:12" ht="18" customHeight="1">
      <c r="A1038" s="16" t="s">
        <v>6728</v>
      </c>
      <c r="B1038" s="17" t="s">
        <v>6729</v>
      </c>
      <c r="C1038" s="18" t="s">
        <v>6730</v>
      </c>
      <c r="D1038" s="18" t="s">
        <v>6731</v>
      </c>
      <c r="E1038" s="18" t="s">
        <v>6732</v>
      </c>
      <c r="F1038" s="18" t="s">
        <v>2547</v>
      </c>
      <c r="G1038" s="18" t="s">
        <v>237</v>
      </c>
      <c r="H1038" s="18" t="s">
        <v>294</v>
      </c>
      <c r="I1038" s="18" t="s">
        <v>6733</v>
      </c>
      <c r="J1038" s="18" t="s">
        <v>6734</v>
      </c>
      <c r="K1038" s="18" t="s">
        <v>6735</v>
      </c>
      <c r="L1038" s="19">
        <v>52000</v>
      </c>
    </row>
    <row r="1039" spans="1:12" ht="18" customHeight="1">
      <c r="A1039" s="16" t="s">
        <v>6736</v>
      </c>
      <c r="B1039" s="17" t="s">
        <v>6737</v>
      </c>
      <c r="C1039" s="18" t="s">
        <v>6738</v>
      </c>
      <c r="D1039" s="18" t="s">
        <v>6739</v>
      </c>
      <c r="E1039" s="18" t="s">
        <v>6740</v>
      </c>
      <c r="F1039" s="18" t="s">
        <v>2547</v>
      </c>
      <c r="G1039" s="18" t="s">
        <v>237</v>
      </c>
      <c r="H1039" s="18" t="s">
        <v>213</v>
      </c>
      <c r="I1039" s="18" t="s">
        <v>6741</v>
      </c>
      <c r="J1039" s="18" t="s">
        <v>6742</v>
      </c>
      <c r="K1039" s="18" t="s">
        <v>6743</v>
      </c>
      <c r="L1039" s="19">
        <v>87200</v>
      </c>
    </row>
    <row r="1040" spans="1:12" ht="18" customHeight="1">
      <c r="A1040" s="16" t="s">
        <v>6744</v>
      </c>
      <c r="B1040" s="17" t="s">
        <v>6745</v>
      </c>
      <c r="C1040" s="18" t="s">
        <v>6746</v>
      </c>
      <c r="D1040" s="18" t="s">
        <v>6747</v>
      </c>
      <c r="E1040" s="18" t="s">
        <v>6748</v>
      </c>
      <c r="F1040" s="18" t="s">
        <v>2547</v>
      </c>
      <c r="G1040" s="18" t="s">
        <v>237</v>
      </c>
      <c r="H1040" s="18" t="s">
        <v>1153</v>
      </c>
      <c r="I1040" s="18" t="s">
        <v>6749</v>
      </c>
      <c r="J1040" s="18" t="s">
        <v>6750</v>
      </c>
      <c r="K1040" s="18" t="s">
        <v>6751</v>
      </c>
      <c r="L1040" s="19">
        <v>68400</v>
      </c>
    </row>
    <row r="1041" spans="1:12" ht="18" customHeight="1">
      <c r="A1041" s="16" t="s">
        <v>6752</v>
      </c>
      <c r="B1041" s="17" t="s">
        <v>6753</v>
      </c>
      <c r="C1041" s="18" t="s">
        <v>6754</v>
      </c>
      <c r="D1041" s="18" t="s">
        <v>6755</v>
      </c>
      <c r="E1041" s="18" t="s">
        <v>6756</v>
      </c>
      <c r="F1041" s="18" t="s">
        <v>2547</v>
      </c>
      <c r="G1041" s="18" t="s">
        <v>237</v>
      </c>
      <c r="H1041" s="18" t="s">
        <v>76</v>
      </c>
      <c r="I1041" s="18" t="s">
        <v>6757</v>
      </c>
      <c r="J1041" s="18" t="s">
        <v>6758</v>
      </c>
      <c r="K1041" s="18" t="s">
        <v>6759</v>
      </c>
      <c r="L1041" s="19">
        <v>23080</v>
      </c>
    </row>
    <row r="1042" spans="1:12" ht="18" customHeight="1">
      <c r="A1042" s="16" t="s">
        <v>6760</v>
      </c>
      <c r="B1042" s="17" t="s">
        <v>6761</v>
      </c>
      <c r="C1042" s="18" t="s">
        <v>6762</v>
      </c>
      <c r="D1042" s="18" t="s">
        <v>6763</v>
      </c>
      <c r="E1042" s="18" t="s">
        <v>6764</v>
      </c>
      <c r="F1042" s="18" t="s">
        <v>2547</v>
      </c>
      <c r="G1042" s="18" t="s">
        <v>237</v>
      </c>
      <c r="H1042" s="18" t="s">
        <v>68</v>
      </c>
      <c r="I1042" s="18" t="s">
        <v>6765</v>
      </c>
      <c r="J1042" s="18" t="s">
        <v>6766</v>
      </c>
      <c r="K1042" s="18" t="s">
        <v>6767</v>
      </c>
      <c r="L1042" s="19">
        <v>21970</v>
      </c>
    </row>
    <row r="1043" spans="1:12" ht="18" customHeight="1">
      <c r="A1043" s="16" t="s">
        <v>6768</v>
      </c>
      <c r="B1043" s="17" t="s">
        <v>6769</v>
      </c>
      <c r="C1043" s="18" t="s">
        <v>6770</v>
      </c>
      <c r="D1043" s="18" t="s">
        <v>6771</v>
      </c>
      <c r="E1043" s="18" t="s">
        <v>6772</v>
      </c>
      <c r="F1043" s="18" t="s">
        <v>2547</v>
      </c>
      <c r="G1043" s="18" t="s">
        <v>237</v>
      </c>
      <c r="H1043" s="18" t="s">
        <v>213</v>
      </c>
      <c r="I1043" s="18" t="s">
        <v>6773</v>
      </c>
      <c r="J1043" s="18" t="s">
        <v>6774</v>
      </c>
      <c r="K1043" s="18" t="s">
        <v>6775</v>
      </c>
      <c r="L1043" s="19">
        <v>89950</v>
      </c>
    </row>
    <row r="1044" spans="1:12" ht="18" customHeight="1">
      <c r="A1044" s="16" t="s">
        <v>6776</v>
      </c>
      <c r="B1044" s="17" t="s">
        <v>6777</v>
      </c>
      <c r="C1044" s="18" t="s">
        <v>6778</v>
      </c>
      <c r="D1044" s="18" t="s">
        <v>6779</v>
      </c>
      <c r="E1044" s="18" t="s">
        <v>6780</v>
      </c>
      <c r="F1044" s="18" t="s">
        <v>2547</v>
      </c>
      <c r="G1044" s="18" t="s">
        <v>237</v>
      </c>
      <c r="H1044" s="18" t="s">
        <v>1186</v>
      </c>
      <c r="I1044" s="18" t="s">
        <v>6781</v>
      </c>
      <c r="J1044" s="18" t="s">
        <v>6782</v>
      </c>
      <c r="K1044" s="18" t="s">
        <v>6783</v>
      </c>
      <c r="L1044" s="19">
        <v>60300</v>
      </c>
    </row>
    <row r="1045" spans="1:12" ht="18" customHeight="1">
      <c r="A1045" s="16" t="s">
        <v>6784</v>
      </c>
      <c r="B1045" s="17" t="s">
        <v>6785</v>
      </c>
      <c r="C1045" s="18" t="s">
        <v>6786</v>
      </c>
      <c r="D1045" s="18" t="s">
        <v>6787</v>
      </c>
      <c r="E1045" s="18" t="s">
        <v>6788</v>
      </c>
      <c r="F1045" s="18" t="s">
        <v>2547</v>
      </c>
      <c r="G1045" s="18" t="s">
        <v>237</v>
      </c>
      <c r="H1045" s="18" t="s">
        <v>205</v>
      </c>
      <c r="I1045" s="18" t="s">
        <v>6789</v>
      </c>
      <c r="J1045" s="18" t="s">
        <v>6790</v>
      </c>
      <c r="K1045" s="18" t="s">
        <v>6791</v>
      </c>
      <c r="L1045" s="19">
        <v>86700</v>
      </c>
    </row>
    <row r="1046" spans="1:12" ht="18" customHeight="1">
      <c r="A1046" s="16" t="s">
        <v>6792</v>
      </c>
      <c r="B1046" s="17" t="s">
        <v>6793</v>
      </c>
      <c r="C1046" s="18" t="s">
        <v>6794</v>
      </c>
      <c r="D1046" s="18" t="s">
        <v>6795</v>
      </c>
      <c r="E1046" s="18" t="s">
        <v>6796</v>
      </c>
      <c r="F1046" s="18" t="s">
        <v>2547</v>
      </c>
      <c r="G1046" s="18" t="s">
        <v>237</v>
      </c>
      <c r="H1046" s="18" t="s">
        <v>99</v>
      </c>
      <c r="I1046" s="18" t="s">
        <v>6797</v>
      </c>
      <c r="J1046" s="18" t="s">
        <v>6798</v>
      </c>
      <c r="K1046" s="18" t="s">
        <v>6799</v>
      </c>
      <c r="L1046" s="19">
        <v>31943</v>
      </c>
    </row>
    <row r="1047" spans="1:12" ht="18" customHeight="1">
      <c r="A1047" s="16" t="s">
        <v>6800</v>
      </c>
      <c r="B1047" s="17" t="s">
        <v>6801</v>
      </c>
      <c r="C1047" s="18" t="s">
        <v>6802</v>
      </c>
      <c r="D1047" s="18" t="s">
        <v>6803</v>
      </c>
      <c r="E1047" s="18" t="s">
        <v>6804</v>
      </c>
      <c r="F1047" s="18" t="s">
        <v>2547</v>
      </c>
      <c r="G1047" s="18" t="s">
        <v>237</v>
      </c>
      <c r="H1047" s="18" t="s">
        <v>91</v>
      </c>
      <c r="I1047" s="18" t="s">
        <v>6805</v>
      </c>
      <c r="J1047" s="18" t="s">
        <v>6806</v>
      </c>
      <c r="K1047" s="18" t="s">
        <v>6807</v>
      </c>
      <c r="L1047" s="19">
        <v>30565</v>
      </c>
    </row>
    <row r="1048" spans="1:12" ht="18" customHeight="1">
      <c r="A1048" s="16" t="s">
        <v>6808</v>
      </c>
      <c r="B1048" s="17" t="s">
        <v>6809</v>
      </c>
      <c r="C1048" s="18" t="s">
        <v>6810</v>
      </c>
      <c r="D1048" s="18" t="s">
        <v>6811</v>
      </c>
      <c r="E1048" s="18" t="s">
        <v>6812</v>
      </c>
      <c r="F1048" s="18" t="s">
        <v>2547</v>
      </c>
      <c r="G1048" s="18" t="s">
        <v>237</v>
      </c>
      <c r="H1048" s="18" t="s">
        <v>121</v>
      </c>
      <c r="I1048" s="18" t="s">
        <v>6813</v>
      </c>
      <c r="J1048" s="18" t="s">
        <v>6814</v>
      </c>
      <c r="K1048" s="18" t="s">
        <v>6815</v>
      </c>
      <c r="L1048" s="19">
        <v>35200</v>
      </c>
    </row>
    <row r="1049" spans="1:12" ht="18" customHeight="1">
      <c r="A1049" s="16" t="s">
        <v>6816</v>
      </c>
      <c r="B1049" s="17" t="s">
        <v>6817</v>
      </c>
      <c r="C1049" s="18" t="s">
        <v>6818</v>
      </c>
      <c r="D1049" s="18" t="s">
        <v>6819</v>
      </c>
      <c r="E1049" s="18" t="s">
        <v>6820</v>
      </c>
      <c r="F1049" s="18" t="s">
        <v>2547</v>
      </c>
      <c r="G1049" s="18" t="s">
        <v>237</v>
      </c>
      <c r="H1049" s="18" t="s">
        <v>1186</v>
      </c>
      <c r="I1049" s="18" t="s">
        <v>6821</v>
      </c>
      <c r="J1049" s="18" t="s">
        <v>6822</v>
      </c>
      <c r="K1049" s="18" t="s">
        <v>6823</v>
      </c>
      <c r="L1049" s="19">
        <v>61250</v>
      </c>
    </row>
    <row r="1050" spans="1:12" ht="18" customHeight="1">
      <c r="A1050" s="16" t="s">
        <v>6824</v>
      </c>
      <c r="B1050" s="17" t="s">
        <v>6825</v>
      </c>
      <c r="C1050" s="18" t="s">
        <v>6826</v>
      </c>
      <c r="D1050" s="18" t="s">
        <v>6827</v>
      </c>
      <c r="E1050" s="18" t="s">
        <v>6828</v>
      </c>
      <c r="F1050" s="18" t="s">
        <v>2547</v>
      </c>
      <c r="G1050" s="18" t="s">
        <v>237</v>
      </c>
      <c r="H1050" s="18" t="s">
        <v>91</v>
      </c>
      <c r="I1050" s="18" t="s">
        <v>6829</v>
      </c>
      <c r="J1050" s="18" t="s">
        <v>6830</v>
      </c>
      <c r="K1050" s="18" t="s">
        <v>6831</v>
      </c>
      <c r="L1050" s="19">
        <v>30180</v>
      </c>
    </row>
    <row r="1051" spans="1:12" ht="18" customHeight="1">
      <c r="A1051" s="16" t="s">
        <v>6832</v>
      </c>
      <c r="B1051" s="17" t="s">
        <v>6833</v>
      </c>
      <c r="C1051" s="18" t="s">
        <v>6834</v>
      </c>
      <c r="D1051" s="18" t="s">
        <v>6835</v>
      </c>
      <c r="E1051" s="18" t="s">
        <v>6836</v>
      </c>
      <c r="F1051" s="18" t="s">
        <v>2547</v>
      </c>
      <c r="G1051" s="18" t="s">
        <v>237</v>
      </c>
      <c r="H1051" s="18" t="s">
        <v>136</v>
      </c>
      <c r="I1051" s="18" t="s">
        <v>6837</v>
      </c>
      <c r="J1051" s="18" t="s">
        <v>6838</v>
      </c>
      <c r="K1051" s="18" t="s">
        <v>6839</v>
      </c>
      <c r="L1051" s="19">
        <v>41930</v>
      </c>
    </row>
    <row r="1052" spans="1:12" ht="18" customHeight="1">
      <c r="A1052" s="16" t="s">
        <v>6840</v>
      </c>
      <c r="B1052" s="17" t="s">
        <v>6841</v>
      </c>
      <c r="C1052" s="18" t="s">
        <v>6842</v>
      </c>
      <c r="D1052" s="18" t="s">
        <v>6843</v>
      </c>
      <c r="E1052" s="18" t="s">
        <v>6844</v>
      </c>
      <c r="F1052" s="18" t="s">
        <v>2547</v>
      </c>
      <c r="G1052" s="18" t="s">
        <v>237</v>
      </c>
      <c r="H1052" s="18" t="s">
        <v>632</v>
      </c>
      <c r="I1052" s="18" t="s">
        <v>6845</v>
      </c>
      <c r="J1052" s="18" t="s">
        <v>6846</v>
      </c>
      <c r="K1052" s="18" t="s">
        <v>6847</v>
      </c>
      <c r="L1052" s="19">
        <v>46900</v>
      </c>
    </row>
    <row r="1053" spans="1:12" ht="18" customHeight="1">
      <c r="A1053" s="16" t="s">
        <v>6848</v>
      </c>
      <c r="B1053" s="17" t="s">
        <v>6849</v>
      </c>
      <c r="C1053" s="18" t="s">
        <v>6850</v>
      </c>
      <c r="D1053" s="18" t="s">
        <v>6851</v>
      </c>
      <c r="E1053" s="18" t="s">
        <v>6852</v>
      </c>
      <c r="F1053" s="18" t="s">
        <v>2547</v>
      </c>
      <c r="G1053" s="18" t="s">
        <v>237</v>
      </c>
      <c r="H1053" s="18" t="s">
        <v>106</v>
      </c>
      <c r="I1053" s="18" t="s">
        <v>6853</v>
      </c>
      <c r="J1053" s="18" t="s">
        <v>6854</v>
      </c>
      <c r="K1053" s="18" t="s">
        <v>1489</v>
      </c>
      <c r="L1053" s="19">
        <v>27440</v>
      </c>
    </row>
    <row r="1054" spans="1:12" ht="18" customHeight="1">
      <c r="A1054" s="16" t="s">
        <v>6855</v>
      </c>
      <c r="B1054" s="17" t="s">
        <v>6856</v>
      </c>
      <c r="C1054" s="18" t="s">
        <v>6857</v>
      </c>
      <c r="D1054" s="18" t="s">
        <v>6858</v>
      </c>
      <c r="E1054" s="18" t="s">
        <v>6859</v>
      </c>
      <c r="F1054" s="18" t="s">
        <v>2547</v>
      </c>
      <c r="G1054" s="18" t="s">
        <v>237</v>
      </c>
      <c r="H1054" s="18" t="s">
        <v>1153</v>
      </c>
      <c r="I1054" s="18" t="s">
        <v>6860</v>
      </c>
      <c r="J1054" s="18" t="s">
        <v>6861</v>
      </c>
      <c r="K1054" s="18" t="s">
        <v>6862</v>
      </c>
      <c r="L1054" s="19">
        <v>70300</v>
      </c>
    </row>
    <row r="1055" spans="1:12" ht="18" customHeight="1">
      <c r="A1055" s="16" t="s">
        <v>6863</v>
      </c>
      <c r="B1055" s="17" t="s">
        <v>6864</v>
      </c>
      <c r="C1055" s="18" t="s">
        <v>6865</v>
      </c>
      <c r="D1055" s="18" t="s">
        <v>6866</v>
      </c>
      <c r="E1055" s="18" t="s">
        <v>6867</v>
      </c>
      <c r="F1055" s="18" t="s">
        <v>2547</v>
      </c>
      <c r="G1055" s="18" t="s">
        <v>237</v>
      </c>
      <c r="H1055" s="18" t="s">
        <v>144</v>
      </c>
      <c r="I1055" s="18" t="s">
        <v>6868</v>
      </c>
      <c r="J1055" s="18" t="s">
        <v>6869</v>
      </c>
      <c r="K1055" s="18" t="s">
        <v>6870</v>
      </c>
      <c r="L1055" s="19">
        <v>97801</v>
      </c>
    </row>
    <row r="1056" spans="1:12" ht="18" customHeight="1">
      <c r="A1056" s="16" t="s">
        <v>6871</v>
      </c>
      <c r="B1056" s="17" t="s">
        <v>6872</v>
      </c>
      <c r="C1056" s="18" t="s">
        <v>6873</v>
      </c>
      <c r="D1056" s="18" t="s">
        <v>6874</v>
      </c>
      <c r="E1056" s="18" t="s">
        <v>6875</v>
      </c>
      <c r="F1056" s="18" t="s">
        <v>2547</v>
      </c>
      <c r="G1056" s="18" t="s">
        <v>237</v>
      </c>
      <c r="H1056" s="18" t="s">
        <v>583</v>
      </c>
      <c r="I1056" s="18" t="s">
        <v>6876</v>
      </c>
      <c r="J1056" s="18" t="s">
        <v>6877</v>
      </c>
      <c r="K1056" s="18" t="s">
        <v>6878</v>
      </c>
      <c r="L1056" s="19">
        <v>43350</v>
      </c>
    </row>
    <row r="1057" spans="1:12" ht="18" customHeight="1">
      <c r="A1057" s="16" t="s">
        <v>6879</v>
      </c>
      <c r="B1057" s="17" t="s">
        <v>6880</v>
      </c>
      <c r="C1057" s="18" t="s">
        <v>6881</v>
      </c>
      <c r="D1057" s="18" t="s">
        <v>6882</v>
      </c>
      <c r="E1057" s="18" t="s">
        <v>6883</v>
      </c>
      <c r="F1057" s="18" t="s">
        <v>2547</v>
      </c>
      <c r="G1057" s="18" t="s">
        <v>237</v>
      </c>
      <c r="H1057" s="18" t="s">
        <v>1153</v>
      </c>
      <c r="I1057" s="18" t="s">
        <v>6884</v>
      </c>
      <c r="J1057" s="18" t="s">
        <v>6885</v>
      </c>
      <c r="K1057" s="18" t="s">
        <v>6886</v>
      </c>
      <c r="L1057" s="19">
        <v>70805</v>
      </c>
    </row>
    <row r="1058" spans="1:12" ht="18" customHeight="1">
      <c r="A1058" s="16" t="s">
        <v>6887</v>
      </c>
      <c r="B1058" s="17" t="s">
        <v>6888</v>
      </c>
      <c r="C1058" s="18" t="s">
        <v>6889</v>
      </c>
      <c r="D1058" s="18" t="s">
        <v>6890</v>
      </c>
      <c r="E1058" s="18" t="s">
        <v>6891</v>
      </c>
      <c r="F1058" s="18" t="s">
        <v>2547</v>
      </c>
      <c r="G1058" s="18" t="s">
        <v>237</v>
      </c>
      <c r="H1058" s="18" t="s">
        <v>583</v>
      </c>
      <c r="I1058" s="18" t="s">
        <v>6892</v>
      </c>
      <c r="J1058" s="18" t="s">
        <v>6893</v>
      </c>
      <c r="K1058" s="18" t="s">
        <v>6894</v>
      </c>
      <c r="L1058" s="19">
        <v>42130</v>
      </c>
    </row>
    <row r="1059" spans="1:12" ht="18" customHeight="1">
      <c r="A1059" s="16" t="s">
        <v>6895</v>
      </c>
      <c r="B1059" s="17" t="s">
        <v>6896</v>
      </c>
      <c r="C1059" s="18" t="s">
        <v>6897</v>
      </c>
      <c r="D1059" s="18" t="s">
        <v>6898</v>
      </c>
      <c r="E1059" s="18" t="s">
        <v>6899</v>
      </c>
      <c r="F1059" s="18" t="s">
        <v>2547</v>
      </c>
      <c r="G1059" s="18" t="s">
        <v>237</v>
      </c>
      <c r="H1059" s="18" t="s">
        <v>616</v>
      </c>
      <c r="I1059" s="18" t="s">
        <v>6900</v>
      </c>
      <c r="J1059" s="18" t="s">
        <v>6901</v>
      </c>
      <c r="K1059" s="18" t="s">
        <v>6902</v>
      </c>
      <c r="L1059" s="19">
        <v>91820</v>
      </c>
    </row>
    <row r="1060" spans="1:12" ht="18" customHeight="1">
      <c r="A1060" s="16" t="s">
        <v>6903</v>
      </c>
      <c r="B1060" s="17" t="s">
        <v>6904</v>
      </c>
      <c r="C1060" s="18" t="s">
        <v>6905</v>
      </c>
      <c r="D1060" s="18" t="s">
        <v>6906</v>
      </c>
      <c r="E1060" s="18" t="s">
        <v>6907</v>
      </c>
      <c r="F1060" s="18" t="s">
        <v>2547</v>
      </c>
      <c r="G1060" s="18" t="s">
        <v>237</v>
      </c>
      <c r="H1060" s="18" t="s">
        <v>136</v>
      </c>
      <c r="I1060" s="18" t="s">
        <v>6908</v>
      </c>
      <c r="J1060" s="18" t="s">
        <v>6909</v>
      </c>
      <c r="K1060" s="18" t="s">
        <v>136</v>
      </c>
      <c r="L1060" s="19">
        <v>39230</v>
      </c>
    </row>
    <row r="1061" spans="1:12" ht="18" customHeight="1">
      <c r="A1061" s="16" t="s">
        <v>6910</v>
      </c>
      <c r="B1061" s="17" t="s">
        <v>6911</v>
      </c>
      <c r="C1061" s="18" t="s">
        <v>6912</v>
      </c>
      <c r="D1061" s="18" t="s">
        <v>6913</v>
      </c>
      <c r="E1061" s="18" t="s">
        <v>6914</v>
      </c>
      <c r="F1061" s="18" t="s">
        <v>2547</v>
      </c>
      <c r="G1061" s="18" t="s">
        <v>237</v>
      </c>
      <c r="H1061" s="18" t="s">
        <v>504</v>
      </c>
      <c r="I1061" s="18" t="s">
        <v>6915</v>
      </c>
      <c r="J1061" s="18" t="s">
        <v>6916</v>
      </c>
      <c r="K1061" s="18" t="s">
        <v>6917</v>
      </c>
      <c r="L1061" s="19">
        <v>80800</v>
      </c>
    </row>
    <row r="1062" spans="1:12" ht="18" customHeight="1">
      <c r="A1062" s="16" t="s">
        <v>6918</v>
      </c>
      <c r="B1062" s="17" t="s">
        <v>6919</v>
      </c>
      <c r="C1062" s="18" t="s">
        <v>6920</v>
      </c>
      <c r="D1062" s="18" t="s">
        <v>6921</v>
      </c>
      <c r="E1062" s="18" t="s">
        <v>6922</v>
      </c>
      <c r="F1062" s="18" t="s">
        <v>2547</v>
      </c>
      <c r="G1062" s="18" t="s">
        <v>237</v>
      </c>
      <c r="H1062" s="18" t="s">
        <v>197</v>
      </c>
      <c r="I1062" s="18" t="s">
        <v>6923</v>
      </c>
      <c r="J1062" s="18" t="s">
        <v>6924</v>
      </c>
      <c r="K1062" s="18" t="s">
        <v>6925</v>
      </c>
      <c r="L1062" s="19">
        <v>84560</v>
      </c>
    </row>
    <row r="1063" spans="1:12" ht="18" customHeight="1">
      <c r="A1063" s="16" t="s">
        <v>6926</v>
      </c>
      <c r="B1063" s="17" t="s">
        <v>6927</v>
      </c>
      <c r="C1063" s="18" t="s">
        <v>6928</v>
      </c>
      <c r="D1063" s="18" t="s">
        <v>6929</v>
      </c>
      <c r="E1063" s="18" t="s">
        <v>6930</v>
      </c>
      <c r="F1063" s="18" t="s">
        <v>2547</v>
      </c>
      <c r="G1063" s="18" t="s">
        <v>237</v>
      </c>
      <c r="H1063" s="18" t="s">
        <v>583</v>
      </c>
      <c r="I1063" s="18" t="s">
        <v>6931</v>
      </c>
      <c r="J1063" s="18" t="s">
        <v>6932</v>
      </c>
      <c r="K1063" s="18" t="s">
        <v>6933</v>
      </c>
      <c r="L1063" s="19">
        <v>43100</v>
      </c>
    </row>
    <row r="1064" spans="1:12" ht="18" customHeight="1">
      <c r="A1064" s="16" t="s">
        <v>6934</v>
      </c>
      <c r="B1064" s="17" t="s">
        <v>6935</v>
      </c>
      <c r="C1064" s="18" t="s">
        <v>6936</v>
      </c>
      <c r="D1064" s="18" t="s">
        <v>6937</v>
      </c>
      <c r="E1064" s="18" t="s">
        <v>6938</v>
      </c>
      <c r="F1064" s="18" t="s">
        <v>2547</v>
      </c>
      <c r="G1064" s="18" t="s">
        <v>237</v>
      </c>
      <c r="H1064" s="18" t="s">
        <v>160</v>
      </c>
      <c r="I1064" s="18" t="s">
        <v>6939</v>
      </c>
      <c r="J1064" s="18" t="s">
        <v>6940</v>
      </c>
      <c r="K1064" s="18" t="s">
        <v>6941</v>
      </c>
      <c r="L1064" s="19">
        <v>67510</v>
      </c>
    </row>
    <row r="1065" spans="1:12" ht="18" customHeight="1">
      <c r="A1065" s="16" t="s">
        <v>6942</v>
      </c>
      <c r="B1065" s="17" t="s">
        <v>6943</v>
      </c>
      <c r="C1065" s="18" t="s">
        <v>6944</v>
      </c>
      <c r="D1065" s="18" t="s">
        <v>6945</v>
      </c>
      <c r="E1065" s="18" t="s">
        <v>6946</v>
      </c>
      <c r="F1065" s="18" t="s">
        <v>2547</v>
      </c>
      <c r="G1065" s="18" t="s">
        <v>237</v>
      </c>
      <c r="H1065" s="18" t="s">
        <v>128</v>
      </c>
      <c r="I1065" s="18" t="s">
        <v>6947</v>
      </c>
      <c r="J1065" s="18" t="s">
        <v>6948</v>
      </c>
      <c r="K1065" s="18" t="s">
        <v>6949</v>
      </c>
      <c r="L1065" s="19">
        <v>38800</v>
      </c>
    </row>
    <row r="1066" spans="1:12" ht="18" customHeight="1">
      <c r="A1066" s="16" t="s">
        <v>6950</v>
      </c>
      <c r="B1066" s="17" t="s">
        <v>6951</v>
      </c>
      <c r="C1066" s="18" t="s">
        <v>6952</v>
      </c>
      <c r="D1066" s="18" t="s">
        <v>6953</v>
      </c>
      <c r="E1066" s="18" t="s">
        <v>6954</v>
      </c>
      <c r="F1066" s="18" t="s">
        <v>2547</v>
      </c>
      <c r="G1066" s="18" t="s">
        <v>237</v>
      </c>
      <c r="H1066" s="18" t="s">
        <v>91</v>
      </c>
      <c r="I1066" s="18" t="s">
        <v>6955</v>
      </c>
      <c r="J1066" s="18" t="s">
        <v>6956</v>
      </c>
      <c r="K1066" s="18" t="s">
        <v>6957</v>
      </c>
      <c r="L1066" s="19">
        <v>30900</v>
      </c>
    </row>
    <row r="1067" spans="1:12" ht="18" customHeight="1">
      <c r="A1067" s="16" t="s">
        <v>6958</v>
      </c>
      <c r="B1067" s="17" t="s">
        <v>6959</v>
      </c>
      <c r="C1067" s="18" t="s">
        <v>6960</v>
      </c>
      <c r="D1067" s="18" t="s">
        <v>6961</v>
      </c>
      <c r="E1067" s="18" t="s">
        <v>6962</v>
      </c>
      <c r="F1067" s="18" t="s">
        <v>2547</v>
      </c>
      <c r="G1067" s="18" t="s">
        <v>237</v>
      </c>
      <c r="H1067" s="18" t="s">
        <v>144</v>
      </c>
      <c r="I1067" s="18" t="s">
        <v>6963</v>
      </c>
      <c r="J1067" s="18" t="s">
        <v>6964</v>
      </c>
      <c r="K1067" s="18" t="s">
        <v>6965</v>
      </c>
      <c r="L1067" s="19">
        <v>97430</v>
      </c>
    </row>
    <row r="1068" spans="1:12" ht="18" customHeight="1">
      <c r="A1068" s="16" t="s">
        <v>6966</v>
      </c>
      <c r="B1068" s="17" t="s">
        <v>6967</v>
      </c>
      <c r="C1068" s="18" t="s">
        <v>6968</v>
      </c>
      <c r="D1068" s="18" t="s">
        <v>6969</v>
      </c>
      <c r="E1068" s="18" t="s">
        <v>6970</v>
      </c>
      <c r="F1068" s="18" t="s">
        <v>2547</v>
      </c>
      <c r="G1068" s="18" t="s">
        <v>237</v>
      </c>
      <c r="H1068" s="18" t="s">
        <v>144</v>
      </c>
      <c r="I1068" s="18" t="s">
        <v>6971</v>
      </c>
      <c r="J1068" s="18" t="s">
        <v>6972</v>
      </c>
      <c r="K1068" s="18" t="s">
        <v>6973</v>
      </c>
      <c r="L1068" s="19">
        <v>97840</v>
      </c>
    </row>
    <row r="1069" spans="1:12" ht="18" customHeight="1">
      <c r="A1069" s="16" t="s">
        <v>6974</v>
      </c>
      <c r="B1069" s="17" t="s">
        <v>6975</v>
      </c>
      <c r="C1069" s="18" t="s">
        <v>6976</v>
      </c>
      <c r="D1069" s="18" t="s">
        <v>6977</v>
      </c>
      <c r="E1069" s="18" t="s">
        <v>6978</v>
      </c>
      <c r="F1069" s="18" t="s">
        <v>2547</v>
      </c>
      <c r="G1069" s="18" t="s">
        <v>237</v>
      </c>
      <c r="H1069" s="18" t="s">
        <v>616</v>
      </c>
      <c r="I1069" s="18" t="s">
        <v>6979</v>
      </c>
      <c r="J1069" s="18" t="s">
        <v>6980</v>
      </c>
      <c r="K1069" s="18" t="s">
        <v>6981</v>
      </c>
      <c r="L1069" s="19">
        <v>92320</v>
      </c>
    </row>
    <row r="1070" spans="1:12" ht="18" customHeight="1">
      <c r="A1070" s="16" t="s">
        <v>6982</v>
      </c>
      <c r="B1070" s="17" t="s">
        <v>6983</v>
      </c>
      <c r="C1070" s="18" t="s">
        <v>6984</v>
      </c>
      <c r="D1070" s="18" t="s">
        <v>6985</v>
      </c>
      <c r="E1070" s="18" t="s">
        <v>6986</v>
      </c>
      <c r="F1070" s="18" t="s">
        <v>2547</v>
      </c>
      <c r="G1070" s="18" t="s">
        <v>237</v>
      </c>
      <c r="H1070" s="18" t="s">
        <v>504</v>
      </c>
      <c r="I1070" s="18" t="s">
        <v>6987</v>
      </c>
      <c r="J1070" s="18" t="s">
        <v>6988</v>
      </c>
      <c r="K1070" s="18" t="s">
        <v>6989</v>
      </c>
      <c r="L1070" s="19">
        <v>80370</v>
      </c>
    </row>
    <row r="1071" spans="1:12" ht="18" customHeight="1">
      <c r="A1071" s="16" t="s">
        <v>6990</v>
      </c>
      <c r="B1071" s="17" t="s">
        <v>6991</v>
      </c>
      <c r="C1071" s="18" t="s">
        <v>6992</v>
      </c>
      <c r="D1071" s="18" t="s">
        <v>6993</v>
      </c>
      <c r="E1071" s="18" t="s">
        <v>6994</v>
      </c>
      <c r="F1071" s="18" t="s">
        <v>2547</v>
      </c>
      <c r="G1071" s="18" t="s">
        <v>237</v>
      </c>
      <c r="H1071" s="18" t="s">
        <v>228</v>
      </c>
      <c r="I1071" s="18" t="s">
        <v>6995</v>
      </c>
      <c r="J1071" s="18" t="s">
        <v>6996</v>
      </c>
      <c r="K1071" s="18" t="s">
        <v>6997</v>
      </c>
      <c r="L1071" s="19">
        <v>99900</v>
      </c>
    </row>
    <row r="1072" spans="1:12" ht="18" customHeight="1">
      <c r="A1072" s="16" t="s">
        <v>6998</v>
      </c>
      <c r="B1072" s="17" t="s">
        <v>6999</v>
      </c>
      <c r="C1072" s="18" t="s">
        <v>7000</v>
      </c>
      <c r="D1072" s="18" t="s">
        <v>7001</v>
      </c>
      <c r="E1072" s="18" t="s">
        <v>7002</v>
      </c>
      <c r="F1072" s="18" t="s">
        <v>2547</v>
      </c>
      <c r="G1072" s="18" t="s">
        <v>237</v>
      </c>
      <c r="H1072" s="18" t="s">
        <v>121</v>
      </c>
      <c r="I1072" s="18" t="s">
        <v>7003</v>
      </c>
      <c r="J1072" s="18" t="s">
        <v>7004</v>
      </c>
      <c r="K1072" s="18" t="s">
        <v>7005</v>
      </c>
      <c r="L1072" s="19">
        <v>34840</v>
      </c>
    </row>
    <row r="1073" spans="1:12" ht="18" customHeight="1">
      <c r="A1073" s="16" t="s">
        <v>7006</v>
      </c>
      <c r="B1073" s="17" t="s">
        <v>7007</v>
      </c>
      <c r="C1073" s="18" t="s">
        <v>7008</v>
      </c>
      <c r="D1073" s="18" t="s">
        <v>7009</v>
      </c>
      <c r="E1073" s="18" t="s">
        <v>7010</v>
      </c>
      <c r="F1073" s="18" t="s">
        <v>2547</v>
      </c>
      <c r="G1073" s="18" t="s">
        <v>237</v>
      </c>
      <c r="H1073" s="18" t="s">
        <v>1186</v>
      </c>
      <c r="I1073" s="18" t="s">
        <v>7011</v>
      </c>
      <c r="J1073" s="18" t="s">
        <v>7012</v>
      </c>
      <c r="K1073" s="18" t="s">
        <v>7013</v>
      </c>
      <c r="L1073" s="19">
        <v>61760</v>
      </c>
    </row>
    <row r="1074" spans="1:12" ht="18" customHeight="1">
      <c r="A1074" s="16" t="s">
        <v>7014</v>
      </c>
      <c r="B1074" s="17" t="s">
        <v>7015</v>
      </c>
      <c r="C1074" s="18" t="s">
        <v>7016</v>
      </c>
      <c r="D1074" s="18" t="s">
        <v>7017</v>
      </c>
      <c r="E1074" s="18" t="s">
        <v>7018</v>
      </c>
      <c r="F1074" s="18" t="s">
        <v>2547</v>
      </c>
      <c r="G1074" s="18" t="s">
        <v>237</v>
      </c>
      <c r="H1074" s="18" t="s">
        <v>99</v>
      </c>
      <c r="I1074" s="18" t="s">
        <v>7019</v>
      </c>
      <c r="J1074" s="18" t="s">
        <v>7020</v>
      </c>
      <c r="K1074" s="18" t="s">
        <v>7021</v>
      </c>
      <c r="L1074" s="19">
        <v>31700</v>
      </c>
    </row>
    <row r="1075" spans="1:12" ht="18" customHeight="1">
      <c r="A1075" s="16" t="s">
        <v>7022</v>
      </c>
      <c r="B1075" s="17" t="s">
        <v>7023</v>
      </c>
      <c r="C1075" s="18" t="s">
        <v>7024</v>
      </c>
      <c r="D1075" s="18" t="s">
        <v>7025</v>
      </c>
      <c r="E1075" s="18" t="s">
        <v>7026</v>
      </c>
      <c r="F1075" s="18" t="s">
        <v>2547</v>
      </c>
      <c r="G1075" s="18" t="s">
        <v>237</v>
      </c>
      <c r="H1075" s="18" t="s">
        <v>121</v>
      </c>
      <c r="I1075" s="18" t="s">
        <v>7027</v>
      </c>
      <c r="J1075" s="18" t="s">
        <v>7028</v>
      </c>
      <c r="K1075" s="18" t="s">
        <v>7029</v>
      </c>
      <c r="L1075" s="19">
        <v>34410</v>
      </c>
    </row>
    <row r="1076" spans="1:12" ht="18" customHeight="1">
      <c r="A1076" s="16" t="s">
        <v>7030</v>
      </c>
      <c r="B1076" s="17" t="s">
        <v>7031</v>
      </c>
      <c r="C1076" s="18" t="s">
        <v>7032</v>
      </c>
      <c r="D1076" s="18" t="s">
        <v>7033</v>
      </c>
      <c r="E1076" s="18" t="s">
        <v>7034</v>
      </c>
      <c r="F1076" s="18" t="s">
        <v>2547</v>
      </c>
      <c r="G1076" s="18" t="s">
        <v>237</v>
      </c>
      <c r="H1076" s="18" t="s">
        <v>213</v>
      </c>
      <c r="I1076" s="18" t="s">
        <v>7035</v>
      </c>
      <c r="J1076" s="18" t="s">
        <v>7036</v>
      </c>
      <c r="K1076" s="18" t="s">
        <v>7037</v>
      </c>
      <c r="L1076" s="19">
        <v>87980</v>
      </c>
    </row>
    <row r="1077" spans="1:12" ht="18" customHeight="1">
      <c r="A1077" s="16" t="s">
        <v>7038</v>
      </c>
      <c r="B1077" s="17" t="s">
        <v>7039</v>
      </c>
      <c r="C1077" s="18" t="s">
        <v>7040</v>
      </c>
      <c r="D1077" s="18" t="s">
        <v>7041</v>
      </c>
      <c r="E1077" s="18" t="s">
        <v>7042</v>
      </c>
      <c r="F1077" s="18" t="s">
        <v>2547</v>
      </c>
      <c r="G1077" s="18" t="s">
        <v>237</v>
      </c>
      <c r="H1077" s="18" t="s">
        <v>504</v>
      </c>
      <c r="I1077" s="18" t="s">
        <v>7043</v>
      </c>
      <c r="J1077" s="18" t="s">
        <v>7044</v>
      </c>
      <c r="K1077" s="18" t="s">
        <v>7045</v>
      </c>
      <c r="L1077" s="19">
        <v>87900</v>
      </c>
    </row>
    <row r="1078" spans="1:12" ht="18" customHeight="1">
      <c r="A1078" s="16" t="s">
        <v>7046</v>
      </c>
      <c r="B1078" s="17" t="s">
        <v>7047</v>
      </c>
      <c r="C1078" s="18" t="s">
        <v>7048</v>
      </c>
      <c r="D1078" s="18" t="s">
        <v>7049</v>
      </c>
      <c r="E1078" s="18" t="s">
        <v>7050</v>
      </c>
      <c r="F1078" s="18" t="s">
        <v>2547</v>
      </c>
      <c r="G1078" s="18" t="s">
        <v>237</v>
      </c>
      <c r="H1078" s="18" t="s">
        <v>91</v>
      </c>
      <c r="I1078" s="18" t="s">
        <v>7051</v>
      </c>
      <c r="J1078" s="18" t="s">
        <v>7052</v>
      </c>
      <c r="K1078" s="18" t="s">
        <v>4970</v>
      </c>
      <c r="L1078" s="19">
        <v>4587</v>
      </c>
    </row>
    <row r="1079" spans="1:12" ht="18" customHeight="1">
      <c r="A1079" s="16" t="s">
        <v>7053</v>
      </c>
      <c r="B1079" s="17" t="s">
        <v>7054</v>
      </c>
      <c r="C1079" s="18" t="s">
        <v>7055</v>
      </c>
      <c r="D1079" s="18" t="s">
        <v>7056</v>
      </c>
      <c r="E1079" s="18" t="s">
        <v>7057</v>
      </c>
      <c r="F1079" s="18" t="s">
        <v>2547</v>
      </c>
      <c r="G1079" s="18" t="s">
        <v>237</v>
      </c>
      <c r="H1079" s="18" t="s">
        <v>632</v>
      </c>
      <c r="I1079" s="18" t="s">
        <v>7058</v>
      </c>
      <c r="J1079" s="18" t="s">
        <v>7059</v>
      </c>
      <c r="K1079" s="18" t="s">
        <v>7060</v>
      </c>
      <c r="L1079" s="19">
        <v>47862</v>
      </c>
    </row>
    <row r="1080" spans="1:12" ht="18" customHeight="1">
      <c r="A1080" s="16" t="s">
        <v>7061</v>
      </c>
      <c r="B1080" s="17" t="s">
        <v>7062</v>
      </c>
      <c r="C1080" s="18" t="s">
        <v>7063</v>
      </c>
      <c r="D1080" s="18" t="s">
        <v>7064</v>
      </c>
      <c r="E1080" s="18" t="s">
        <v>7065</v>
      </c>
      <c r="F1080" s="18" t="s">
        <v>2547</v>
      </c>
      <c r="G1080" s="18" t="s">
        <v>237</v>
      </c>
      <c r="H1080" s="18" t="s">
        <v>91</v>
      </c>
      <c r="I1080" s="18" t="s">
        <v>7066</v>
      </c>
      <c r="J1080" s="18" t="s">
        <v>7067</v>
      </c>
      <c r="K1080" s="18" t="s">
        <v>7068</v>
      </c>
      <c r="L1080" s="19">
        <v>29140</v>
      </c>
    </row>
    <row r="1081" spans="1:12" ht="18" customHeight="1">
      <c r="A1081" s="16" t="s">
        <v>7069</v>
      </c>
      <c r="B1081" s="17" t="s">
        <v>7070</v>
      </c>
      <c r="C1081" s="18" t="s">
        <v>7071</v>
      </c>
      <c r="D1081" s="18" t="s">
        <v>7072</v>
      </c>
      <c r="E1081" s="18" t="s">
        <v>7073</v>
      </c>
      <c r="F1081" s="18" t="s">
        <v>2547</v>
      </c>
      <c r="G1081" s="18" t="s">
        <v>237</v>
      </c>
      <c r="H1081" s="18" t="s">
        <v>99</v>
      </c>
      <c r="I1081" s="18" t="s">
        <v>7074</v>
      </c>
      <c r="J1081" s="18" t="s">
        <v>7075</v>
      </c>
      <c r="K1081" s="18" t="s">
        <v>7076</v>
      </c>
      <c r="L1081" s="19">
        <v>32881</v>
      </c>
    </row>
    <row r="1082" spans="1:12" ht="18" customHeight="1">
      <c r="A1082" s="16" t="s">
        <v>7077</v>
      </c>
      <c r="B1082" s="17" t="s">
        <v>7078</v>
      </c>
      <c r="C1082" s="18" t="s">
        <v>7079</v>
      </c>
      <c r="D1082" s="18" t="s">
        <v>7080</v>
      </c>
      <c r="E1082" s="18" t="s">
        <v>7081</v>
      </c>
      <c r="F1082" s="18" t="s">
        <v>2547</v>
      </c>
      <c r="G1082" s="18" t="s">
        <v>237</v>
      </c>
      <c r="H1082" s="18" t="s">
        <v>228</v>
      </c>
      <c r="I1082" s="18" t="s">
        <v>7082</v>
      </c>
      <c r="J1082" s="18" t="s">
        <v>7083</v>
      </c>
      <c r="K1082" s="18" t="s">
        <v>7084</v>
      </c>
      <c r="L1082" s="19">
        <v>98700</v>
      </c>
    </row>
    <row r="1083" spans="1:12" ht="18" customHeight="1">
      <c r="A1083" s="16" t="s">
        <v>7085</v>
      </c>
      <c r="B1083" s="17" t="s">
        <v>7086</v>
      </c>
      <c r="C1083" s="18" t="s">
        <v>7087</v>
      </c>
      <c r="D1083" s="18" t="s">
        <v>7088</v>
      </c>
      <c r="E1083" s="18" t="s">
        <v>7089</v>
      </c>
      <c r="F1083" s="18" t="s">
        <v>2547</v>
      </c>
      <c r="G1083" s="18" t="s">
        <v>237</v>
      </c>
      <c r="H1083" s="18" t="s">
        <v>136</v>
      </c>
      <c r="I1083" s="18" t="s">
        <v>7090</v>
      </c>
      <c r="J1083" s="18" t="s">
        <v>7091</v>
      </c>
      <c r="K1083" s="18" t="s">
        <v>7092</v>
      </c>
      <c r="L1083" s="19">
        <v>41000</v>
      </c>
    </row>
    <row r="1084" spans="1:12" ht="18" customHeight="1">
      <c r="A1084" s="16" t="s">
        <v>7093</v>
      </c>
      <c r="B1084" s="17" t="s">
        <v>7094</v>
      </c>
      <c r="C1084" s="18" t="s">
        <v>7095</v>
      </c>
      <c r="D1084" s="18" t="s">
        <v>7096</v>
      </c>
      <c r="E1084" s="18" t="s">
        <v>7097</v>
      </c>
      <c r="F1084" s="18" t="s">
        <v>2547</v>
      </c>
      <c r="G1084" s="18" t="s">
        <v>237</v>
      </c>
      <c r="H1084" s="18" t="s">
        <v>144</v>
      </c>
      <c r="I1084" s="18" t="s">
        <v>7098</v>
      </c>
      <c r="J1084" s="18" t="s">
        <v>7099</v>
      </c>
      <c r="K1084" s="18" t="s">
        <v>7100</v>
      </c>
      <c r="L1084" s="19">
        <v>97880</v>
      </c>
    </row>
    <row r="1085" spans="1:12" ht="18" customHeight="1">
      <c r="A1085" s="16" t="s">
        <v>7101</v>
      </c>
      <c r="B1085" s="17" t="s">
        <v>7102</v>
      </c>
      <c r="C1085" s="18" t="s">
        <v>7103</v>
      </c>
      <c r="D1085" s="18" t="s">
        <v>7104</v>
      </c>
      <c r="E1085" s="18" t="s">
        <v>7105</v>
      </c>
      <c r="F1085" s="18" t="s">
        <v>2547</v>
      </c>
      <c r="G1085" s="18" t="s">
        <v>237</v>
      </c>
      <c r="H1085" s="18" t="s">
        <v>61</v>
      </c>
      <c r="I1085" s="18" t="s">
        <v>7106</v>
      </c>
      <c r="J1085" s="18" t="s">
        <v>7107</v>
      </c>
      <c r="K1085" s="18" t="s">
        <v>7108</v>
      </c>
      <c r="L1085" s="19">
        <v>20660</v>
      </c>
    </row>
    <row r="1086" spans="1:12" s="53" customFormat="1" ht="19.5" customHeight="1">
      <c r="A1086" s="16" t="s">
        <v>7109</v>
      </c>
      <c r="B1086" s="17" t="s">
        <v>7110</v>
      </c>
      <c r="C1086" s="18" t="s">
        <v>7111</v>
      </c>
      <c r="D1086" s="18" t="s">
        <v>7112</v>
      </c>
      <c r="E1086" s="18" t="s">
        <v>7113</v>
      </c>
      <c r="F1086" s="18" t="s">
        <v>2547</v>
      </c>
      <c r="G1086" s="18" t="s">
        <v>237</v>
      </c>
      <c r="H1086" s="18" t="s">
        <v>91</v>
      </c>
      <c r="I1086" s="18" t="s">
        <v>7114</v>
      </c>
      <c r="J1086" s="18" t="s">
        <v>7115</v>
      </c>
      <c r="K1086" s="18" t="s">
        <v>1697</v>
      </c>
      <c r="L1086" s="19">
        <v>29960</v>
      </c>
    </row>
    <row r="1087" spans="1:12" ht="18" customHeight="1">
      <c r="A1087" s="16" t="s">
        <v>7116</v>
      </c>
      <c r="B1087" s="17" t="s">
        <v>7117</v>
      </c>
      <c r="C1087" s="18" t="s">
        <v>7118</v>
      </c>
      <c r="D1087" s="18" t="s">
        <v>7119</v>
      </c>
      <c r="E1087" s="18" t="s">
        <v>7120</v>
      </c>
      <c r="F1087" s="18" t="s">
        <v>2547</v>
      </c>
      <c r="G1087" s="18" t="s">
        <v>237</v>
      </c>
      <c r="H1087" s="18" t="s">
        <v>616</v>
      </c>
      <c r="I1087" s="18" t="s">
        <v>7121</v>
      </c>
      <c r="J1087" s="18" t="s">
        <v>7122</v>
      </c>
      <c r="K1087" s="18" t="s">
        <v>7123</v>
      </c>
      <c r="L1087" s="19">
        <v>93995</v>
      </c>
    </row>
    <row r="1088" spans="1:12" ht="18" customHeight="1">
      <c r="A1088" s="16" t="s">
        <v>7124</v>
      </c>
      <c r="B1088" s="17" t="s">
        <v>7125</v>
      </c>
      <c r="C1088" s="18" t="s">
        <v>7126</v>
      </c>
      <c r="D1088" s="18" t="s">
        <v>7127</v>
      </c>
      <c r="E1088" s="18" t="s">
        <v>7128</v>
      </c>
      <c r="F1088" s="18" t="s">
        <v>2547</v>
      </c>
      <c r="G1088" s="18" t="s">
        <v>237</v>
      </c>
      <c r="H1088" s="18" t="s">
        <v>616</v>
      </c>
      <c r="I1088" s="18" t="s">
        <v>7129</v>
      </c>
      <c r="J1088" s="18" t="s">
        <v>7130</v>
      </c>
      <c r="K1088" s="18" t="s">
        <v>7131</v>
      </c>
      <c r="L1088" s="19">
        <v>93400</v>
      </c>
    </row>
    <row r="1089" spans="1:12" ht="18" customHeight="1">
      <c r="A1089" s="16" t="s">
        <v>7132</v>
      </c>
      <c r="B1089" s="17" t="s">
        <v>7133</v>
      </c>
      <c r="C1089" s="18" t="s">
        <v>7134</v>
      </c>
      <c r="D1089" s="18" t="s">
        <v>7135</v>
      </c>
      <c r="E1089" s="18" t="s">
        <v>7136</v>
      </c>
      <c r="F1089" s="18" t="s">
        <v>2547</v>
      </c>
      <c r="G1089" s="18" t="s">
        <v>237</v>
      </c>
      <c r="H1089" s="18" t="s">
        <v>1186</v>
      </c>
      <c r="I1089" s="18" t="s">
        <v>7137</v>
      </c>
      <c r="J1089" s="18" t="s">
        <v>7138</v>
      </c>
      <c r="K1089" s="18" t="s">
        <v>7139</v>
      </c>
      <c r="L1089" s="19">
        <v>60250</v>
      </c>
    </row>
    <row r="1090" spans="1:12" ht="18" customHeight="1">
      <c r="A1090" s="16" t="s">
        <v>7140</v>
      </c>
      <c r="B1090" s="17" t="s">
        <v>7141</v>
      </c>
      <c r="C1090" s="18" t="s">
        <v>7142</v>
      </c>
      <c r="D1090" s="18" t="s">
        <v>7143</v>
      </c>
      <c r="E1090" s="18" t="s">
        <v>7144</v>
      </c>
      <c r="F1090" s="18" t="s">
        <v>2547</v>
      </c>
      <c r="G1090" s="18" t="s">
        <v>237</v>
      </c>
      <c r="H1090" s="18" t="s">
        <v>205</v>
      </c>
      <c r="I1090" s="18" t="s">
        <v>7145</v>
      </c>
      <c r="J1090" s="18" t="s">
        <v>7146</v>
      </c>
      <c r="K1090" s="18" t="s">
        <v>7147</v>
      </c>
      <c r="L1090" s="19">
        <v>86600</v>
      </c>
    </row>
    <row r="1091" spans="1:12" ht="18" customHeight="1">
      <c r="A1091" s="16" t="s">
        <v>7148</v>
      </c>
      <c r="B1091" s="17" t="s">
        <v>7149</v>
      </c>
      <c r="C1091" s="18" t="s">
        <v>7150</v>
      </c>
      <c r="D1091" s="18" t="s">
        <v>7151</v>
      </c>
      <c r="E1091" s="18" t="s">
        <v>7152</v>
      </c>
      <c r="F1091" s="18" t="s">
        <v>2547</v>
      </c>
      <c r="G1091" s="18" t="s">
        <v>237</v>
      </c>
      <c r="H1091" s="18" t="s">
        <v>106</v>
      </c>
      <c r="I1091" s="18" t="s">
        <v>7153</v>
      </c>
      <c r="J1091" s="18" t="s">
        <v>7154</v>
      </c>
      <c r="K1091" s="18" t="s">
        <v>7155</v>
      </c>
      <c r="L1091" s="19">
        <v>27980</v>
      </c>
    </row>
    <row r="1092" spans="1:12" ht="18" customHeight="1">
      <c r="A1092" s="16" t="s">
        <v>7156</v>
      </c>
      <c r="B1092" s="17" t="s">
        <v>7157</v>
      </c>
      <c r="C1092" s="18" t="s">
        <v>7158</v>
      </c>
      <c r="D1092" s="18" t="s">
        <v>7159</v>
      </c>
      <c r="E1092" s="18" t="s">
        <v>7160</v>
      </c>
      <c r="F1092" s="18" t="s">
        <v>2547</v>
      </c>
      <c r="G1092" s="18" t="s">
        <v>237</v>
      </c>
      <c r="H1092" s="18" t="s">
        <v>121</v>
      </c>
      <c r="I1092" s="18" t="s">
        <v>7161</v>
      </c>
      <c r="J1092" s="18" t="s">
        <v>7162</v>
      </c>
      <c r="K1092" s="18" t="s">
        <v>7163</v>
      </c>
      <c r="L1092" s="19">
        <v>35703</v>
      </c>
    </row>
    <row r="1093" spans="1:12" ht="18" customHeight="1">
      <c r="A1093" s="16" t="s">
        <v>7164</v>
      </c>
      <c r="B1093" s="17" t="s">
        <v>7165</v>
      </c>
      <c r="C1093" s="18" t="s">
        <v>7166</v>
      </c>
      <c r="D1093" s="18" t="s">
        <v>7167</v>
      </c>
      <c r="E1093" s="18" t="s">
        <v>7168</v>
      </c>
      <c r="F1093" s="18" t="s">
        <v>2547</v>
      </c>
      <c r="G1093" s="18" t="s">
        <v>237</v>
      </c>
      <c r="H1093" s="18" t="s">
        <v>152</v>
      </c>
      <c r="I1093" s="18" t="s">
        <v>7169</v>
      </c>
      <c r="J1093" s="18" t="s">
        <v>7170</v>
      </c>
      <c r="K1093" s="18" t="s">
        <v>7171</v>
      </c>
      <c r="L1093" s="19">
        <v>63726</v>
      </c>
    </row>
    <row r="1094" spans="1:12" ht="18" customHeight="1">
      <c r="A1094" s="16" t="s">
        <v>7172</v>
      </c>
      <c r="B1094" s="17" t="s">
        <v>7173</v>
      </c>
      <c r="C1094" s="18" t="s">
        <v>7174</v>
      </c>
      <c r="D1094" s="18" t="s">
        <v>7175</v>
      </c>
      <c r="E1094" s="18" t="s">
        <v>7176</v>
      </c>
      <c r="F1094" s="18" t="s">
        <v>2547</v>
      </c>
      <c r="G1094" s="18" t="s">
        <v>237</v>
      </c>
      <c r="H1094" s="18" t="s">
        <v>128</v>
      </c>
      <c r="I1094" s="18" t="s">
        <v>7177</v>
      </c>
      <c r="J1094" s="18" t="s">
        <v>7178</v>
      </c>
      <c r="K1094" s="18" t="s">
        <v>7179</v>
      </c>
      <c r="L1094" s="19">
        <v>36900</v>
      </c>
    </row>
    <row r="1095" spans="1:12" ht="18" customHeight="1">
      <c r="A1095" s="16" t="s">
        <v>7180</v>
      </c>
      <c r="B1095" s="17" t="s">
        <v>7181</v>
      </c>
      <c r="C1095" s="18" t="s">
        <v>7182</v>
      </c>
      <c r="D1095" s="18" t="s">
        <v>7183</v>
      </c>
      <c r="E1095" s="18" t="s">
        <v>7184</v>
      </c>
      <c r="F1095" s="18" t="s">
        <v>2547</v>
      </c>
      <c r="G1095" s="18" t="s">
        <v>237</v>
      </c>
      <c r="H1095" s="18" t="s">
        <v>504</v>
      </c>
      <c r="I1095" s="18" t="s">
        <v>7185</v>
      </c>
      <c r="J1095" s="18" t="s">
        <v>7186</v>
      </c>
      <c r="K1095" s="18" t="s">
        <v>7187</v>
      </c>
      <c r="L1095" s="19">
        <v>80900</v>
      </c>
    </row>
    <row r="1096" spans="1:12" ht="18" customHeight="1">
      <c r="A1096" s="16" t="s">
        <v>7188</v>
      </c>
      <c r="B1096" s="17" t="s">
        <v>7189</v>
      </c>
      <c r="C1096" s="18" t="s">
        <v>7190</v>
      </c>
      <c r="D1096" s="18" t="s">
        <v>7191</v>
      </c>
      <c r="E1096" s="18" t="s">
        <v>7192</v>
      </c>
      <c r="F1096" s="18" t="s">
        <v>2547</v>
      </c>
      <c r="G1096" s="18" t="s">
        <v>237</v>
      </c>
      <c r="H1096" s="18" t="s">
        <v>616</v>
      </c>
      <c r="I1096" s="18" t="s">
        <v>7193</v>
      </c>
      <c r="J1096" s="18" t="s">
        <v>7194</v>
      </c>
      <c r="K1096" s="18" t="s">
        <v>7195</v>
      </c>
      <c r="L1096" s="19">
        <v>92270</v>
      </c>
    </row>
    <row r="1097" spans="1:12" ht="18" customHeight="1">
      <c r="A1097" s="16" t="s">
        <v>7196</v>
      </c>
      <c r="B1097" s="17" t="s">
        <v>7197</v>
      </c>
      <c r="C1097" s="18" t="s">
        <v>7198</v>
      </c>
      <c r="D1097" s="18" t="s">
        <v>7199</v>
      </c>
      <c r="E1097" s="18" t="s">
        <v>7200</v>
      </c>
      <c r="F1097" s="18" t="s">
        <v>2547</v>
      </c>
      <c r="G1097" s="18" t="s">
        <v>237</v>
      </c>
      <c r="H1097" s="18" t="s">
        <v>136</v>
      </c>
      <c r="I1097" s="18" t="s">
        <v>7201</v>
      </c>
      <c r="J1097" s="18" t="s">
        <v>7202</v>
      </c>
      <c r="K1097" s="18" t="s">
        <v>7203</v>
      </c>
      <c r="L1097" s="19">
        <v>40830</v>
      </c>
    </row>
    <row r="1098" spans="1:12" ht="18" customHeight="1">
      <c r="A1098" s="16" t="s">
        <v>7204</v>
      </c>
      <c r="B1098" s="17" t="s">
        <v>7205</v>
      </c>
      <c r="C1098" s="18" t="s">
        <v>7206</v>
      </c>
      <c r="D1098" s="18" t="s">
        <v>7207</v>
      </c>
      <c r="E1098" s="18" t="s">
        <v>7208</v>
      </c>
      <c r="F1098" s="18" t="s">
        <v>2547</v>
      </c>
      <c r="G1098" s="18" t="s">
        <v>237</v>
      </c>
      <c r="H1098" s="18" t="s">
        <v>144</v>
      </c>
      <c r="I1098" s="18" t="s">
        <v>7209</v>
      </c>
      <c r="J1098" s="18" t="s">
        <v>7210</v>
      </c>
      <c r="K1098" s="18" t="s">
        <v>7211</v>
      </c>
      <c r="L1098" s="19">
        <v>97930</v>
      </c>
    </row>
    <row r="1099" spans="1:12" ht="18" customHeight="1">
      <c r="A1099" s="16" t="s">
        <v>7212</v>
      </c>
      <c r="B1099" s="17" t="s">
        <v>7213</v>
      </c>
      <c r="C1099" s="18" t="s">
        <v>7214</v>
      </c>
      <c r="D1099" s="18" t="s">
        <v>7215</v>
      </c>
      <c r="E1099" s="18" t="s">
        <v>7216</v>
      </c>
      <c r="F1099" s="18" t="s">
        <v>2547</v>
      </c>
      <c r="G1099" s="18" t="s">
        <v>237</v>
      </c>
      <c r="H1099" s="18" t="s">
        <v>91</v>
      </c>
      <c r="I1099" s="18" t="s">
        <v>7217</v>
      </c>
      <c r="J1099" s="18" t="s">
        <v>7218</v>
      </c>
      <c r="K1099" s="18" t="s">
        <v>7219</v>
      </c>
      <c r="L1099" s="19">
        <v>29520</v>
      </c>
    </row>
    <row r="1100" spans="1:12" ht="18" customHeight="1">
      <c r="A1100" s="16" t="s">
        <v>7220</v>
      </c>
      <c r="B1100" s="17" t="s">
        <v>7221</v>
      </c>
      <c r="C1100" s="18" t="s">
        <v>7222</v>
      </c>
      <c r="D1100" s="18" t="s">
        <v>7223</v>
      </c>
      <c r="E1100" s="18" t="s">
        <v>7224</v>
      </c>
      <c r="F1100" s="18" t="s">
        <v>2547</v>
      </c>
      <c r="G1100" s="18" t="s">
        <v>237</v>
      </c>
      <c r="H1100" s="18" t="s">
        <v>228</v>
      </c>
      <c r="I1100" s="18" t="s">
        <v>7225</v>
      </c>
      <c r="J1100" s="18" t="s">
        <v>7226</v>
      </c>
      <c r="K1100" s="18" t="s">
        <v>7227</v>
      </c>
      <c r="L1100" s="19">
        <v>98920</v>
      </c>
    </row>
    <row r="1101" spans="1:12" ht="18" customHeight="1">
      <c r="A1101" s="16" t="s">
        <v>7228</v>
      </c>
      <c r="B1101" s="17" t="s">
        <v>7229</v>
      </c>
      <c r="C1101" s="18" t="s">
        <v>7230</v>
      </c>
      <c r="D1101" s="18" t="s">
        <v>7231</v>
      </c>
      <c r="E1101" s="18" t="s">
        <v>7232</v>
      </c>
      <c r="F1101" s="18" t="s">
        <v>2547</v>
      </c>
      <c r="G1101" s="18" t="s">
        <v>237</v>
      </c>
      <c r="H1101" s="18" t="s">
        <v>616</v>
      </c>
      <c r="I1101" s="18" t="s">
        <v>7233</v>
      </c>
      <c r="J1101" s="18" t="s">
        <v>7234</v>
      </c>
      <c r="K1101" s="18" t="s">
        <v>7235</v>
      </c>
      <c r="L1101" s="19">
        <v>95600</v>
      </c>
    </row>
    <row r="1102" spans="1:12" ht="18" customHeight="1">
      <c r="A1102" s="16" t="s">
        <v>7236</v>
      </c>
      <c r="B1102" s="17" t="s">
        <v>7237</v>
      </c>
      <c r="C1102" s="18" t="s">
        <v>7238</v>
      </c>
      <c r="D1102" s="18" t="s">
        <v>7239</v>
      </c>
      <c r="E1102" s="18" t="s">
        <v>7240</v>
      </c>
      <c r="F1102" s="18" t="s">
        <v>2547</v>
      </c>
      <c r="G1102" s="18" t="s">
        <v>237</v>
      </c>
      <c r="H1102" s="18" t="s">
        <v>1153</v>
      </c>
      <c r="I1102" s="18" t="s">
        <v>7241</v>
      </c>
      <c r="J1102" s="18" t="s">
        <v>7242</v>
      </c>
      <c r="K1102" s="18" t="s">
        <v>7243</v>
      </c>
      <c r="L1102" s="19">
        <v>70900</v>
      </c>
    </row>
    <row r="1103" spans="1:12" ht="18" customHeight="1">
      <c r="A1103" s="16" t="s">
        <v>7244</v>
      </c>
      <c r="B1103" s="17" t="s">
        <v>7245</v>
      </c>
      <c r="C1103" s="18" t="s">
        <v>7246</v>
      </c>
      <c r="D1103" s="18" t="s">
        <v>7247</v>
      </c>
      <c r="E1103" s="18" t="s">
        <v>7248</v>
      </c>
      <c r="F1103" s="18" t="s">
        <v>2547</v>
      </c>
      <c r="G1103" s="18" t="s">
        <v>237</v>
      </c>
      <c r="H1103" s="18" t="s">
        <v>294</v>
      </c>
      <c r="I1103" s="18" t="s">
        <v>7249</v>
      </c>
      <c r="J1103" s="18" t="s">
        <v>7250</v>
      </c>
      <c r="K1103" s="18" t="s">
        <v>7251</v>
      </c>
      <c r="L1103" s="19">
        <v>54200</v>
      </c>
    </row>
    <row r="1104" spans="1:12" ht="18" customHeight="1">
      <c r="A1104" s="16" t="s">
        <v>7252</v>
      </c>
      <c r="B1104" s="17" t="s">
        <v>7253</v>
      </c>
      <c r="C1104" s="18" t="s">
        <v>7254</v>
      </c>
      <c r="D1104" s="18" t="s">
        <v>7255</v>
      </c>
      <c r="E1104" s="18" t="s">
        <v>7256</v>
      </c>
      <c r="F1104" s="18" t="s">
        <v>2547</v>
      </c>
      <c r="G1104" s="18" t="s">
        <v>237</v>
      </c>
      <c r="H1104" s="18" t="s">
        <v>144</v>
      </c>
      <c r="I1104" s="18" t="s">
        <v>7257</v>
      </c>
      <c r="J1104" s="18" t="s">
        <v>7258</v>
      </c>
      <c r="K1104" s="18" t="s">
        <v>7259</v>
      </c>
      <c r="L1104" s="19">
        <v>97320</v>
      </c>
    </row>
    <row r="1105" spans="1:12" ht="18" customHeight="1">
      <c r="A1105" s="16" t="s">
        <v>7260</v>
      </c>
      <c r="B1105" s="17" t="s">
        <v>7261</v>
      </c>
      <c r="C1105" s="18" t="s">
        <v>7262</v>
      </c>
      <c r="D1105" s="18" t="s">
        <v>7263</v>
      </c>
      <c r="E1105" s="18" t="s">
        <v>7264</v>
      </c>
      <c r="F1105" s="18" t="s">
        <v>2547</v>
      </c>
      <c r="G1105" s="18" t="s">
        <v>237</v>
      </c>
      <c r="H1105" s="18" t="s">
        <v>197</v>
      </c>
      <c r="I1105" s="18" t="s">
        <v>7265</v>
      </c>
      <c r="J1105" s="18" t="s">
        <v>7266</v>
      </c>
      <c r="K1105" s="18" t="s">
        <v>7267</v>
      </c>
      <c r="L1105" s="19">
        <v>83550</v>
      </c>
    </row>
    <row r="1106" spans="1:12" ht="18" customHeight="1">
      <c r="A1106" s="16" t="s">
        <v>7268</v>
      </c>
      <c r="B1106" s="17" t="s">
        <v>7269</v>
      </c>
      <c r="C1106" s="18" t="s">
        <v>7270</v>
      </c>
      <c r="D1106" s="18" t="s">
        <v>7271</v>
      </c>
      <c r="E1106" s="18" t="s">
        <v>7272</v>
      </c>
      <c r="F1106" s="18" t="s">
        <v>2547</v>
      </c>
      <c r="G1106" s="18" t="s">
        <v>237</v>
      </c>
      <c r="H1106" s="18" t="s">
        <v>76</v>
      </c>
      <c r="I1106" s="18" t="s">
        <v>7273</v>
      </c>
      <c r="J1106" s="18" t="s">
        <v>7274</v>
      </c>
      <c r="K1106" s="18" t="s">
        <v>1359</v>
      </c>
      <c r="L1106" s="19">
        <v>23740</v>
      </c>
    </row>
    <row r="1107" spans="1:12" ht="18" customHeight="1">
      <c r="A1107" s="16" t="s">
        <v>7275</v>
      </c>
      <c r="B1107" s="17" t="s">
        <v>7276</v>
      </c>
      <c r="C1107" s="18" t="s">
        <v>7277</v>
      </c>
      <c r="D1107" s="18" t="s">
        <v>7278</v>
      </c>
      <c r="E1107" s="18" t="s">
        <v>7279</v>
      </c>
      <c r="F1107" s="18" t="s">
        <v>2547</v>
      </c>
      <c r="G1107" s="18" t="s">
        <v>237</v>
      </c>
      <c r="H1107" s="18" t="s">
        <v>1186</v>
      </c>
      <c r="I1107" s="18" t="s">
        <v>7280</v>
      </c>
      <c r="J1107" s="18" t="s">
        <v>7281</v>
      </c>
      <c r="K1107" s="18" t="s">
        <v>7282</v>
      </c>
      <c r="L1107" s="19">
        <v>58500</v>
      </c>
    </row>
    <row r="1108" spans="1:12" ht="18" customHeight="1">
      <c r="A1108" s="16" t="s">
        <v>7283</v>
      </c>
      <c r="B1108" s="17" t="s">
        <v>7284</v>
      </c>
      <c r="C1108" s="18" t="s">
        <v>7285</v>
      </c>
      <c r="D1108" s="18" t="s">
        <v>7286</v>
      </c>
      <c r="E1108" s="18" t="s">
        <v>7287</v>
      </c>
      <c r="F1108" s="18" t="s">
        <v>2547</v>
      </c>
      <c r="G1108" s="18" t="s">
        <v>237</v>
      </c>
      <c r="H1108" s="18" t="s">
        <v>1153</v>
      </c>
      <c r="I1108" s="18" t="s">
        <v>7288</v>
      </c>
      <c r="J1108" s="18" t="s">
        <v>7289</v>
      </c>
      <c r="K1108" s="18" t="s">
        <v>7290</v>
      </c>
      <c r="L1108" s="19">
        <v>71000</v>
      </c>
    </row>
    <row r="1109" spans="1:12" ht="18" customHeight="1">
      <c r="A1109" s="16" t="s">
        <v>7291</v>
      </c>
      <c r="B1109" s="17" t="s">
        <v>7292</v>
      </c>
      <c r="C1109" s="18" t="s">
        <v>7293</v>
      </c>
      <c r="D1109" s="18" t="s">
        <v>7294</v>
      </c>
      <c r="E1109" s="18" t="s">
        <v>7295</v>
      </c>
      <c r="F1109" s="18" t="s">
        <v>2547</v>
      </c>
      <c r="G1109" s="18" t="s">
        <v>237</v>
      </c>
      <c r="H1109" s="18" t="s">
        <v>504</v>
      </c>
      <c r="I1109" s="18" t="s">
        <v>7296</v>
      </c>
      <c r="J1109" s="18" t="s">
        <v>7297</v>
      </c>
      <c r="K1109" s="18" t="s">
        <v>7298</v>
      </c>
      <c r="L1109" s="19">
        <v>80400</v>
      </c>
    </row>
    <row r="1110" spans="1:12" ht="18" customHeight="1">
      <c r="A1110" s="16" t="s">
        <v>7299</v>
      </c>
      <c r="B1110" s="17" t="s">
        <v>7300</v>
      </c>
      <c r="C1110" s="18" t="s">
        <v>7301</v>
      </c>
      <c r="D1110" s="18" t="s">
        <v>7302</v>
      </c>
      <c r="E1110" s="18" t="s">
        <v>7303</v>
      </c>
      <c r="F1110" s="18" t="s">
        <v>2547</v>
      </c>
      <c r="G1110" s="18" t="s">
        <v>237</v>
      </c>
      <c r="H1110" s="18" t="s">
        <v>61</v>
      </c>
      <c r="I1110" s="18" t="s">
        <v>7304</v>
      </c>
      <c r="J1110" s="18" t="s">
        <v>7305</v>
      </c>
      <c r="K1110" s="18" t="s">
        <v>7306</v>
      </c>
      <c r="L1110" s="19">
        <v>20400</v>
      </c>
    </row>
    <row r="1111" spans="1:12" ht="18" customHeight="1">
      <c r="A1111" s="16" t="s">
        <v>7307</v>
      </c>
      <c r="B1111" s="17" t="s">
        <v>7308</v>
      </c>
      <c r="C1111" s="18" t="s">
        <v>7309</v>
      </c>
      <c r="D1111" s="18" t="s">
        <v>7310</v>
      </c>
      <c r="E1111" s="18" t="s">
        <v>7311</v>
      </c>
      <c r="F1111" s="18" t="s">
        <v>2547</v>
      </c>
      <c r="G1111" s="18" t="s">
        <v>237</v>
      </c>
      <c r="H1111" s="18" t="s">
        <v>1153</v>
      </c>
      <c r="I1111" s="18" t="s">
        <v>7312</v>
      </c>
      <c r="J1111" s="18" t="s">
        <v>7313</v>
      </c>
      <c r="K1111" s="18" t="s">
        <v>7314</v>
      </c>
      <c r="L1111" s="19">
        <v>71830</v>
      </c>
    </row>
    <row r="1112" spans="1:12" ht="18" customHeight="1">
      <c r="A1112" s="16" t="s">
        <v>7315</v>
      </c>
      <c r="B1112" s="17" t="s">
        <v>7316</v>
      </c>
      <c r="C1112" s="18" t="s">
        <v>7317</v>
      </c>
      <c r="D1112" s="18" t="s">
        <v>7318</v>
      </c>
      <c r="E1112" s="18" t="s">
        <v>7319</v>
      </c>
      <c r="F1112" s="18" t="s">
        <v>2547</v>
      </c>
      <c r="G1112" s="18" t="s">
        <v>237</v>
      </c>
      <c r="H1112" s="18" t="s">
        <v>228</v>
      </c>
      <c r="I1112" s="18" t="s">
        <v>7312</v>
      </c>
      <c r="J1112" s="18" t="s">
        <v>7320</v>
      </c>
      <c r="K1112" s="18" t="s">
        <v>7314</v>
      </c>
      <c r="L1112" s="19">
        <v>98400</v>
      </c>
    </row>
    <row r="1113" spans="1:12" ht="18" customHeight="1">
      <c r="A1113" s="16" t="s">
        <v>7321</v>
      </c>
      <c r="B1113" s="17" t="s">
        <v>7322</v>
      </c>
      <c r="C1113" s="18" t="s">
        <v>7323</v>
      </c>
      <c r="D1113" s="18" t="s">
        <v>7324</v>
      </c>
      <c r="E1113" s="18" t="s">
        <v>7325</v>
      </c>
      <c r="F1113" s="18" t="s">
        <v>2547</v>
      </c>
      <c r="G1113" s="18" t="s">
        <v>237</v>
      </c>
      <c r="H1113" s="18" t="s">
        <v>121</v>
      </c>
      <c r="I1113" s="18" t="s">
        <v>7326</v>
      </c>
      <c r="J1113" s="18" t="s">
        <v>7327</v>
      </c>
      <c r="K1113" s="18" t="s">
        <v>7328</v>
      </c>
      <c r="L1113" s="19">
        <v>35760</v>
      </c>
    </row>
    <row r="1114" spans="1:12" ht="18" customHeight="1">
      <c r="A1114" s="16" t="s">
        <v>7329</v>
      </c>
      <c r="B1114" s="17" t="s">
        <v>7330</v>
      </c>
      <c r="C1114" s="18" t="s">
        <v>7331</v>
      </c>
      <c r="D1114" s="18" t="s">
        <v>7332</v>
      </c>
      <c r="E1114" s="18" t="s">
        <v>7333</v>
      </c>
      <c r="F1114" s="18" t="s">
        <v>2547</v>
      </c>
      <c r="G1114" s="18" t="s">
        <v>237</v>
      </c>
      <c r="H1114" s="18" t="s">
        <v>152</v>
      </c>
      <c r="I1114" s="18" t="s">
        <v>7334</v>
      </c>
      <c r="J1114" s="18" t="s">
        <v>7335</v>
      </c>
      <c r="K1114" s="18" t="s">
        <v>5062</v>
      </c>
      <c r="L1114" s="19">
        <v>63630</v>
      </c>
    </row>
    <row r="1115" spans="1:12" ht="18" customHeight="1">
      <c r="A1115" s="16" t="s">
        <v>7336</v>
      </c>
      <c r="B1115" s="17" t="s">
        <v>7337</v>
      </c>
      <c r="C1115" s="18" t="s">
        <v>7338</v>
      </c>
      <c r="D1115" s="18" t="s">
        <v>7339</v>
      </c>
      <c r="E1115" s="18" t="s">
        <v>7340</v>
      </c>
      <c r="F1115" s="18" t="s">
        <v>2547</v>
      </c>
      <c r="G1115" s="18" t="s">
        <v>237</v>
      </c>
      <c r="H1115" s="18" t="s">
        <v>160</v>
      </c>
      <c r="I1115" s="18" t="s">
        <v>7341</v>
      </c>
      <c r="J1115" s="18" t="s">
        <v>7342</v>
      </c>
      <c r="K1115" s="18" t="s">
        <v>7343</v>
      </c>
      <c r="L1115" s="19">
        <v>65200</v>
      </c>
    </row>
    <row r="1116" spans="1:12" ht="18" customHeight="1">
      <c r="A1116" s="16" t="s">
        <v>7344</v>
      </c>
      <c r="B1116" s="17" t="s">
        <v>7345</v>
      </c>
      <c r="C1116" s="18" t="s">
        <v>7346</v>
      </c>
      <c r="D1116" s="18" t="s">
        <v>7347</v>
      </c>
      <c r="E1116" s="18" t="s">
        <v>7348</v>
      </c>
      <c r="F1116" s="18" t="s">
        <v>2547</v>
      </c>
      <c r="G1116" s="18" t="s">
        <v>237</v>
      </c>
      <c r="H1116" s="18" t="s">
        <v>197</v>
      </c>
      <c r="I1116" s="18" t="s">
        <v>7349</v>
      </c>
      <c r="J1116" s="18" t="s">
        <v>7350</v>
      </c>
      <c r="K1116" s="18" t="s">
        <v>7351</v>
      </c>
      <c r="L1116" s="19">
        <v>85600</v>
      </c>
    </row>
    <row r="1117" spans="1:12" ht="18" customHeight="1">
      <c r="A1117" s="16" t="s">
        <v>7352</v>
      </c>
      <c r="B1117" s="17" t="s">
        <v>7353</v>
      </c>
      <c r="C1117" s="18" t="s">
        <v>7354</v>
      </c>
      <c r="D1117" s="18" t="s">
        <v>7355</v>
      </c>
      <c r="E1117" s="18" t="s">
        <v>7356</v>
      </c>
      <c r="F1117" s="18" t="s">
        <v>2547</v>
      </c>
      <c r="G1117" s="18" t="s">
        <v>237</v>
      </c>
      <c r="H1117" s="18" t="s">
        <v>190</v>
      </c>
      <c r="I1117" s="18" t="s">
        <v>7357</v>
      </c>
      <c r="J1117" s="18" t="s">
        <v>7358</v>
      </c>
      <c r="K1117" s="18" t="s">
        <v>7359</v>
      </c>
      <c r="L1117" s="19">
        <v>78600</v>
      </c>
    </row>
    <row r="1118" spans="1:12" ht="18" customHeight="1">
      <c r="A1118" s="16" t="s">
        <v>7360</v>
      </c>
      <c r="B1118" s="17" t="s">
        <v>7361</v>
      </c>
      <c r="C1118" s="18" t="s">
        <v>7362</v>
      </c>
      <c r="D1118" s="18" t="s">
        <v>7363</v>
      </c>
      <c r="E1118" s="18" t="s">
        <v>7364</v>
      </c>
      <c r="F1118" s="18" t="s">
        <v>2547</v>
      </c>
      <c r="G1118" s="18" t="s">
        <v>237</v>
      </c>
      <c r="H1118" s="18" t="s">
        <v>91</v>
      </c>
      <c r="I1118" s="18" t="s">
        <v>7365</v>
      </c>
      <c r="J1118" s="18" t="s">
        <v>7366</v>
      </c>
      <c r="K1118" s="18" t="s">
        <v>7367</v>
      </c>
      <c r="L1118" s="19">
        <v>29900</v>
      </c>
    </row>
    <row r="1119" spans="1:12" ht="18" customHeight="1">
      <c r="A1119" s="16" t="s">
        <v>7368</v>
      </c>
      <c r="B1119" s="17" t="s">
        <v>7369</v>
      </c>
      <c r="C1119" s="18" t="s">
        <v>7370</v>
      </c>
      <c r="D1119" s="18" t="s">
        <v>7371</v>
      </c>
      <c r="E1119" s="18" t="s">
        <v>7372</v>
      </c>
      <c r="F1119" s="18" t="s">
        <v>2547</v>
      </c>
      <c r="G1119" s="18" t="s">
        <v>237</v>
      </c>
      <c r="H1119" s="18" t="s">
        <v>128</v>
      </c>
      <c r="I1119" s="18" t="s">
        <v>7373</v>
      </c>
      <c r="J1119" s="18" t="s">
        <v>7374</v>
      </c>
      <c r="K1119" s="18" t="s">
        <v>7375</v>
      </c>
      <c r="L1119" s="19">
        <v>38900</v>
      </c>
    </row>
    <row r="1120" spans="1:12" ht="18" customHeight="1">
      <c r="A1120" s="16" t="s">
        <v>7376</v>
      </c>
      <c r="B1120" s="17" t="s">
        <v>7377</v>
      </c>
      <c r="C1120" s="18" t="s">
        <v>7378</v>
      </c>
      <c r="D1120" s="18" t="s">
        <v>7379</v>
      </c>
      <c r="E1120" s="18" t="s">
        <v>7380</v>
      </c>
      <c r="F1120" s="18" t="s">
        <v>2547</v>
      </c>
      <c r="G1120" s="18" t="s">
        <v>237</v>
      </c>
      <c r="H1120" s="18" t="s">
        <v>504</v>
      </c>
      <c r="I1120" s="18" t="s">
        <v>7381</v>
      </c>
      <c r="J1120" s="18" t="s">
        <v>7382</v>
      </c>
      <c r="K1120" s="18" t="s">
        <v>7383</v>
      </c>
      <c r="L1120" s="19">
        <v>81800</v>
      </c>
    </row>
    <row r="1121" spans="1:12" ht="18" customHeight="1">
      <c r="A1121" s="16" t="s">
        <v>7384</v>
      </c>
      <c r="B1121" s="17" t="s">
        <v>7385</v>
      </c>
      <c r="C1121" s="18" t="s">
        <v>7386</v>
      </c>
      <c r="D1121" s="18" t="s">
        <v>7387</v>
      </c>
      <c r="E1121" s="18" t="s">
        <v>7388</v>
      </c>
      <c r="F1121" s="18" t="s">
        <v>2547</v>
      </c>
      <c r="G1121" s="18" t="s">
        <v>237</v>
      </c>
      <c r="H1121" s="18" t="s">
        <v>68</v>
      </c>
      <c r="I1121" s="18" t="s">
        <v>7389</v>
      </c>
      <c r="J1121" s="18" t="s">
        <v>7390</v>
      </c>
      <c r="K1121" s="18" t="s">
        <v>7391</v>
      </c>
      <c r="L1121" s="19">
        <v>21850</v>
      </c>
    </row>
    <row r="1122" spans="1:12" ht="18" customHeight="1">
      <c r="A1122" s="16" t="s">
        <v>7392</v>
      </c>
      <c r="B1122" s="17" t="s">
        <v>7393</v>
      </c>
      <c r="C1122" s="18" t="s">
        <v>7394</v>
      </c>
      <c r="D1122" s="18" t="s">
        <v>7395</v>
      </c>
      <c r="E1122" s="18" t="s">
        <v>7396</v>
      </c>
      <c r="F1122" s="18" t="s">
        <v>2547</v>
      </c>
      <c r="G1122" s="18" t="s">
        <v>237</v>
      </c>
      <c r="H1122" s="18" t="s">
        <v>294</v>
      </c>
      <c r="I1122" s="18" t="s">
        <v>7397</v>
      </c>
      <c r="J1122" s="18" t="s">
        <v>7398</v>
      </c>
      <c r="K1122" s="18" t="s">
        <v>7399</v>
      </c>
      <c r="L1122" s="19">
        <v>50640</v>
      </c>
    </row>
    <row r="1123" spans="1:12" ht="18" customHeight="1">
      <c r="A1123" s="16" t="s">
        <v>7400</v>
      </c>
      <c r="B1123" s="17" t="s">
        <v>7401</v>
      </c>
      <c r="C1123" s="18" t="s">
        <v>7402</v>
      </c>
      <c r="D1123" s="18" t="s">
        <v>7403</v>
      </c>
      <c r="E1123" s="18" t="s">
        <v>7404</v>
      </c>
      <c r="F1123" s="18" t="s">
        <v>2547</v>
      </c>
      <c r="G1123" s="18" t="s">
        <v>237</v>
      </c>
      <c r="H1123" s="18" t="s">
        <v>128</v>
      </c>
      <c r="I1123" s="18" t="s">
        <v>7405</v>
      </c>
      <c r="J1123" s="18" t="s">
        <v>7406</v>
      </c>
      <c r="K1123" s="18" t="s">
        <v>7391</v>
      </c>
      <c r="L1123" s="19">
        <v>37600</v>
      </c>
    </row>
    <row r="1124" spans="1:12" ht="18" customHeight="1">
      <c r="A1124" s="16" t="s">
        <v>7407</v>
      </c>
      <c r="B1124" s="17" t="s">
        <v>7408</v>
      </c>
      <c r="C1124" s="18" t="s">
        <v>7409</v>
      </c>
      <c r="D1124" s="18" t="s">
        <v>7410</v>
      </c>
      <c r="E1124" s="18" t="s">
        <v>7411</v>
      </c>
      <c r="F1124" s="18" t="s">
        <v>2547</v>
      </c>
      <c r="G1124" s="18" t="s">
        <v>237</v>
      </c>
      <c r="H1124" s="18" t="s">
        <v>213</v>
      </c>
      <c r="I1124" s="18" t="s">
        <v>7412</v>
      </c>
      <c r="J1124" s="18" t="s">
        <v>7413</v>
      </c>
      <c r="K1124" s="18" t="s">
        <v>7414</v>
      </c>
      <c r="L1124" s="19">
        <v>87602</v>
      </c>
    </row>
    <row r="1125" spans="1:12" ht="18" customHeight="1">
      <c r="A1125" s="16" t="s">
        <v>7415</v>
      </c>
      <c r="B1125" s="17" t="s">
        <v>7416</v>
      </c>
      <c r="C1125" s="18" t="s">
        <v>7417</v>
      </c>
      <c r="D1125" s="18" t="s">
        <v>7418</v>
      </c>
      <c r="E1125" s="18" t="s">
        <v>7419</v>
      </c>
      <c r="F1125" s="18" t="s">
        <v>3136</v>
      </c>
      <c r="G1125" s="18" t="s">
        <v>237</v>
      </c>
      <c r="H1125" s="18" t="s">
        <v>128</v>
      </c>
      <c r="I1125" s="18" t="s">
        <v>7420</v>
      </c>
      <c r="J1125" s="18" t="s">
        <v>7421</v>
      </c>
      <c r="K1125" s="18" t="s">
        <v>7422</v>
      </c>
      <c r="L1125" s="19">
        <v>36300</v>
      </c>
    </row>
    <row r="1126" spans="1:12" ht="18" customHeight="1">
      <c r="A1126" s="16" t="s">
        <v>7423</v>
      </c>
      <c r="B1126" s="17" t="s">
        <v>7424</v>
      </c>
      <c r="C1126" s="18" t="s">
        <v>7425</v>
      </c>
      <c r="D1126" s="18" t="s">
        <v>7426</v>
      </c>
      <c r="E1126" s="18" t="s">
        <v>7427</v>
      </c>
      <c r="F1126" s="18" t="s">
        <v>2547</v>
      </c>
      <c r="G1126" s="18" t="s">
        <v>237</v>
      </c>
      <c r="H1126" s="18" t="s">
        <v>1153</v>
      </c>
      <c r="I1126" s="18" t="s">
        <v>7428</v>
      </c>
      <c r="J1126" s="18" t="s">
        <v>7429</v>
      </c>
      <c r="K1126" s="18" t="s">
        <v>7430</v>
      </c>
      <c r="L1126" s="19">
        <v>70175</v>
      </c>
    </row>
    <row r="1127" spans="1:12" ht="18" customHeight="1">
      <c r="A1127" s="16" t="s">
        <v>7431</v>
      </c>
      <c r="B1127" s="17" t="s">
        <v>7432</v>
      </c>
      <c r="C1127" s="18" t="s">
        <v>7433</v>
      </c>
      <c r="D1127" s="18" t="s">
        <v>7434</v>
      </c>
      <c r="E1127" s="18" t="s">
        <v>7435</v>
      </c>
      <c r="F1127" s="18" t="s">
        <v>2547</v>
      </c>
      <c r="G1127" s="18" t="s">
        <v>237</v>
      </c>
      <c r="H1127" s="18" t="s">
        <v>504</v>
      </c>
      <c r="I1127" s="18" t="s">
        <v>7436</v>
      </c>
      <c r="J1127" s="18" t="s">
        <v>7437</v>
      </c>
      <c r="K1127" s="18" t="s">
        <v>7438</v>
      </c>
      <c r="L1127" s="19">
        <v>82900</v>
      </c>
    </row>
    <row r="1128" spans="1:12" ht="18" customHeight="1">
      <c r="A1128" s="16" t="s">
        <v>7439</v>
      </c>
      <c r="B1128" s="17" t="s">
        <v>7440</v>
      </c>
      <c r="C1128" s="18" t="s">
        <v>7441</v>
      </c>
      <c r="D1128" s="18" t="s">
        <v>7442</v>
      </c>
      <c r="E1128" s="18" t="s">
        <v>7443</v>
      </c>
      <c r="F1128" s="18" t="s">
        <v>3136</v>
      </c>
      <c r="G1128" s="18" t="s">
        <v>237</v>
      </c>
      <c r="H1128" s="18" t="s">
        <v>294</v>
      </c>
      <c r="I1128" s="18" t="s">
        <v>7444</v>
      </c>
      <c r="J1128" s="18" t="s">
        <v>7445</v>
      </c>
      <c r="K1128" s="18" t="s">
        <v>7446</v>
      </c>
      <c r="L1128" s="19">
        <v>52740</v>
      </c>
    </row>
    <row r="1129" spans="1:12" ht="18" customHeight="1">
      <c r="A1129" s="16" t="s">
        <v>7447</v>
      </c>
      <c r="B1129" s="17" t="s">
        <v>7448</v>
      </c>
      <c r="C1129" s="18" t="s">
        <v>7449</v>
      </c>
      <c r="D1129" s="18" t="s">
        <v>7450</v>
      </c>
      <c r="E1129" s="18" t="s">
        <v>7451</v>
      </c>
      <c r="F1129" s="18" t="s">
        <v>2547</v>
      </c>
      <c r="G1129" s="18" t="s">
        <v>237</v>
      </c>
      <c r="H1129" s="18" t="s">
        <v>128</v>
      </c>
      <c r="I1129" s="18" t="s">
        <v>7452</v>
      </c>
      <c r="J1129" s="18" t="s">
        <v>5456</v>
      </c>
      <c r="K1129" s="18" t="s">
        <v>7453</v>
      </c>
      <c r="L1129" s="19">
        <v>37980</v>
      </c>
    </row>
    <row r="1130" spans="1:12" ht="18" customHeight="1">
      <c r="A1130" s="16" t="s">
        <v>7454</v>
      </c>
      <c r="B1130" s="17" t="s">
        <v>7455</v>
      </c>
      <c r="C1130" s="18" t="s">
        <v>7456</v>
      </c>
      <c r="D1130" s="18" t="s">
        <v>7457</v>
      </c>
      <c r="E1130" s="18" t="s">
        <v>7458</v>
      </c>
      <c r="F1130" s="18" t="s">
        <v>2547</v>
      </c>
      <c r="G1130" s="18" t="s">
        <v>237</v>
      </c>
      <c r="H1130" s="18" t="s">
        <v>152</v>
      </c>
      <c r="I1130" s="18" t="s">
        <v>7459</v>
      </c>
      <c r="J1130" s="18" t="s">
        <v>7460</v>
      </c>
      <c r="K1130" s="18" t="s">
        <v>7461</v>
      </c>
      <c r="L1130" s="19">
        <v>63730</v>
      </c>
    </row>
    <row r="1131" spans="1:12" ht="18" customHeight="1">
      <c r="A1131" s="16" t="s">
        <v>7462</v>
      </c>
      <c r="B1131" s="17" t="s">
        <v>7463</v>
      </c>
      <c r="C1131" s="18" t="s">
        <v>7464</v>
      </c>
      <c r="D1131" s="18" t="s">
        <v>7465</v>
      </c>
      <c r="E1131" s="18" t="s">
        <v>7466</v>
      </c>
      <c r="F1131" s="18" t="s">
        <v>2547</v>
      </c>
      <c r="G1131" s="18" t="s">
        <v>237</v>
      </c>
      <c r="H1131" s="18" t="s">
        <v>121</v>
      </c>
      <c r="I1131" s="18" t="s">
        <v>7467</v>
      </c>
      <c r="J1131" s="18" t="s">
        <v>7468</v>
      </c>
      <c r="K1131" s="18" t="s">
        <v>4990</v>
      </c>
      <c r="L1131" s="19">
        <v>34485</v>
      </c>
    </row>
    <row r="1132" spans="1:12" ht="18" customHeight="1">
      <c r="A1132" s="16" t="s">
        <v>7469</v>
      </c>
      <c r="B1132" s="17" t="s">
        <v>7470</v>
      </c>
      <c r="C1132" s="18" t="s">
        <v>7471</v>
      </c>
      <c r="D1132" s="18" t="s">
        <v>7472</v>
      </c>
      <c r="E1132" s="18" t="s">
        <v>7473</v>
      </c>
      <c r="F1132" s="18" t="s">
        <v>2547</v>
      </c>
      <c r="G1132" s="18" t="s">
        <v>237</v>
      </c>
      <c r="H1132" s="18" t="s">
        <v>175</v>
      </c>
      <c r="I1132" s="18" t="s">
        <v>7467</v>
      </c>
      <c r="J1132" s="18" t="s">
        <v>7474</v>
      </c>
      <c r="K1132" s="18" t="s">
        <v>4990</v>
      </c>
      <c r="L1132" s="19">
        <v>76800</v>
      </c>
    </row>
    <row r="1133" spans="1:12" ht="18" customHeight="1">
      <c r="A1133" s="16" t="s">
        <v>7475</v>
      </c>
      <c r="B1133" s="17" t="s">
        <v>7476</v>
      </c>
      <c r="C1133" s="18" t="s">
        <v>7477</v>
      </c>
      <c r="D1133" s="18" t="s">
        <v>7478</v>
      </c>
      <c r="E1133" s="18" t="s">
        <v>7479</v>
      </c>
      <c r="F1133" s="18" t="s">
        <v>2547</v>
      </c>
      <c r="G1133" s="18" t="s">
        <v>237</v>
      </c>
      <c r="H1133" s="18" t="s">
        <v>168</v>
      </c>
      <c r="I1133" s="18" t="s">
        <v>7480</v>
      </c>
      <c r="J1133" s="18" t="s">
        <v>7481</v>
      </c>
      <c r="K1133" s="18" t="s">
        <v>7482</v>
      </c>
      <c r="L1133" s="19">
        <v>74900</v>
      </c>
    </row>
    <row r="1134" spans="1:12" ht="18" customHeight="1">
      <c r="A1134" s="16" t="s">
        <v>7483</v>
      </c>
      <c r="B1134" s="17" t="s">
        <v>7484</v>
      </c>
      <c r="C1134" s="18" t="s">
        <v>7485</v>
      </c>
      <c r="D1134" s="18" t="s">
        <v>7486</v>
      </c>
      <c r="E1134" s="18" t="s">
        <v>7487</v>
      </c>
      <c r="F1134" s="18" t="s">
        <v>2547</v>
      </c>
      <c r="G1134" s="18" t="s">
        <v>237</v>
      </c>
      <c r="H1134" s="18" t="s">
        <v>294</v>
      </c>
      <c r="I1134" s="18" t="s">
        <v>7488</v>
      </c>
      <c r="J1134" s="18" t="s">
        <v>7489</v>
      </c>
      <c r="K1134" s="18" t="s">
        <v>7490</v>
      </c>
      <c r="L1134" s="19">
        <v>55800</v>
      </c>
    </row>
    <row r="1135" spans="1:12" ht="18" customHeight="1">
      <c r="A1135" s="16" t="s">
        <v>7491</v>
      </c>
      <c r="B1135" s="17" t="s">
        <v>7492</v>
      </c>
      <c r="C1135" s="18" t="s">
        <v>7493</v>
      </c>
      <c r="D1135" s="18" t="s">
        <v>7494</v>
      </c>
      <c r="E1135" s="18" t="s">
        <v>7495</v>
      </c>
      <c r="F1135" s="18" t="s">
        <v>2547</v>
      </c>
      <c r="G1135" s="18" t="s">
        <v>237</v>
      </c>
      <c r="H1135" s="18" t="s">
        <v>1153</v>
      </c>
      <c r="I1135" s="18" t="s">
        <v>7496</v>
      </c>
      <c r="J1135" s="18" t="s">
        <v>7497</v>
      </c>
      <c r="K1135" s="18" t="s">
        <v>7498</v>
      </c>
      <c r="L1135" s="19">
        <v>68470</v>
      </c>
    </row>
    <row r="1136" spans="1:12" ht="18" customHeight="1">
      <c r="A1136" s="16" t="s">
        <v>7499</v>
      </c>
      <c r="B1136" s="17" t="s">
        <v>7500</v>
      </c>
      <c r="C1136" s="18" t="s">
        <v>7501</v>
      </c>
      <c r="D1136" s="18" t="s">
        <v>7502</v>
      </c>
      <c r="E1136" s="18" t="s">
        <v>7503</v>
      </c>
      <c r="F1136" s="18" t="s">
        <v>2547</v>
      </c>
      <c r="G1136" s="18" t="s">
        <v>237</v>
      </c>
      <c r="H1136" s="18" t="s">
        <v>136</v>
      </c>
      <c r="I1136" s="18" t="s">
        <v>7504</v>
      </c>
      <c r="J1136" s="18" t="s">
        <v>7505</v>
      </c>
      <c r="K1136" s="18" t="s">
        <v>7506</v>
      </c>
      <c r="L1136" s="19">
        <v>41600</v>
      </c>
    </row>
    <row r="1137" spans="1:12" ht="18" customHeight="1">
      <c r="A1137" s="16" t="s">
        <v>7507</v>
      </c>
      <c r="B1137" s="17" t="s">
        <v>7508</v>
      </c>
      <c r="C1137" s="18" t="s">
        <v>7509</v>
      </c>
      <c r="D1137" s="18" t="s">
        <v>7510</v>
      </c>
      <c r="E1137" s="18" t="s">
        <v>7511</v>
      </c>
      <c r="F1137" s="18" t="s">
        <v>2547</v>
      </c>
      <c r="G1137" s="18" t="s">
        <v>237</v>
      </c>
      <c r="H1137" s="18" t="s">
        <v>128</v>
      </c>
      <c r="I1137" s="18" t="s">
        <v>7512</v>
      </c>
      <c r="J1137" s="18" t="s">
        <v>7513</v>
      </c>
      <c r="K1137" s="18" t="s">
        <v>7514</v>
      </c>
      <c r="L1137" s="19">
        <v>37900</v>
      </c>
    </row>
    <row r="1138" spans="1:12" ht="18" customHeight="1">
      <c r="A1138" s="16" t="s">
        <v>7515</v>
      </c>
      <c r="B1138" s="17" t="s">
        <v>7516</v>
      </c>
      <c r="C1138" s="18" t="s">
        <v>7517</v>
      </c>
      <c r="D1138" s="18" t="s">
        <v>7518</v>
      </c>
      <c r="E1138" s="18" t="s">
        <v>7519</v>
      </c>
      <c r="F1138" s="18" t="s">
        <v>2547</v>
      </c>
      <c r="G1138" s="18" t="s">
        <v>237</v>
      </c>
      <c r="H1138" s="18" t="s">
        <v>136</v>
      </c>
      <c r="I1138" s="18" t="s">
        <v>7520</v>
      </c>
      <c r="J1138" s="18" t="s">
        <v>7521</v>
      </c>
      <c r="K1138" s="18" t="s">
        <v>7522</v>
      </c>
      <c r="L1138" s="19">
        <v>39960</v>
      </c>
    </row>
    <row r="1139" spans="1:12" ht="18" customHeight="1">
      <c r="A1139" s="16" t="s">
        <v>7523</v>
      </c>
      <c r="B1139" s="17" t="s">
        <v>7524</v>
      </c>
      <c r="C1139" s="18" t="s">
        <v>7525</v>
      </c>
      <c r="D1139" s="18" t="s">
        <v>7526</v>
      </c>
      <c r="E1139" s="18" t="s">
        <v>7527</v>
      </c>
      <c r="F1139" s="18" t="s">
        <v>2547</v>
      </c>
      <c r="G1139" s="18" t="s">
        <v>237</v>
      </c>
      <c r="H1139" s="18" t="s">
        <v>632</v>
      </c>
      <c r="I1139" s="18" t="s">
        <v>7528</v>
      </c>
      <c r="J1139" s="18" t="s">
        <v>7529</v>
      </c>
      <c r="K1139" s="18" t="s">
        <v>4919</v>
      </c>
      <c r="L1139" s="19">
        <v>45629</v>
      </c>
    </row>
    <row r="1140" spans="1:12" ht="18" customHeight="1">
      <c r="A1140" s="16" t="s">
        <v>7530</v>
      </c>
      <c r="B1140" s="17" t="s">
        <v>7531</v>
      </c>
      <c r="C1140" s="18" t="s">
        <v>7532</v>
      </c>
      <c r="D1140" s="18" t="s">
        <v>7533</v>
      </c>
      <c r="E1140" s="18" t="s">
        <v>7534</v>
      </c>
      <c r="F1140" s="18" t="s">
        <v>2547</v>
      </c>
      <c r="G1140" s="18" t="s">
        <v>237</v>
      </c>
      <c r="H1140" s="18" t="s">
        <v>128</v>
      </c>
      <c r="I1140" s="18" t="s">
        <v>7535</v>
      </c>
      <c r="J1140" s="18" t="s">
        <v>7536</v>
      </c>
      <c r="K1140" s="18" t="s">
        <v>7537</v>
      </c>
      <c r="L1140" s="19">
        <v>37745</v>
      </c>
    </row>
    <row r="1141" spans="1:12" ht="18" customHeight="1">
      <c r="A1141" s="16" t="s">
        <v>7538</v>
      </c>
      <c r="B1141" s="17" t="s">
        <v>7539</v>
      </c>
      <c r="C1141" s="18" t="s">
        <v>7540</v>
      </c>
      <c r="D1141" s="18" t="s">
        <v>7541</v>
      </c>
      <c r="E1141" s="18" t="s">
        <v>7542</v>
      </c>
      <c r="F1141" s="18" t="s">
        <v>2547</v>
      </c>
      <c r="G1141" s="18" t="s">
        <v>237</v>
      </c>
      <c r="H1141" s="18" t="s">
        <v>632</v>
      </c>
      <c r="I1141" s="18" t="s">
        <v>7543</v>
      </c>
      <c r="J1141" s="18" t="s">
        <v>7544</v>
      </c>
      <c r="K1141" s="18" t="s">
        <v>7545</v>
      </c>
      <c r="L1141" s="19">
        <v>47140</v>
      </c>
    </row>
    <row r="1142" spans="1:12" ht="18" customHeight="1">
      <c r="A1142" s="16" t="s">
        <v>7546</v>
      </c>
      <c r="B1142" s="17" t="s">
        <v>7547</v>
      </c>
      <c r="C1142" s="18" t="s">
        <v>7548</v>
      </c>
      <c r="D1142" s="18" t="s">
        <v>7549</v>
      </c>
      <c r="E1142" s="18" t="s">
        <v>7550</v>
      </c>
      <c r="F1142" s="18" t="s">
        <v>2547</v>
      </c>
      <c r="G1142" s="18" t="s">
        <v>237</v>
      </c>
      <c r="H1142" s="18" t="s">
        <v>1153</v>
      </c>
      <c r="I1142" s="18" t="s">
        <v>7551</v>
      </c>
      <c r="J1142" s="18" t="s">
        <v>7552</v>
      </c>
      <c r="K1142" s="18" t="s">
        <v>7553</v>
      </c>
      <c r="L1142" s="19">
        <v>71265</v>
      </c>
    </row>
    <row r="1143" spans="1:12" ht="18" customHeight="1">
      <c r="A1143" s="16" t="s">
        <v>7554</v>
      </c>
      <c r="B1143" s="17" t="s">
        <v>7555</v>
      </c>
      <c r="C1143" s="18" t="s">
        <v>7556</v>
      </c>
      <c r="D1143" s="18" t="s">
        <v>7557</v>
      </c>
      <c r="E1143" s="18" t="s">
        <v>7558</v>
      </c>
      <c r="F1143" s="18" t="s">
        <v>2547</v>
      </c>
      <c r="G1143" s="18" t="s">
        <v>237</v>
      </c>
      <c r="H1143" s="18" t="s">
        <v>1153</v>
      </c>
      <c r="I1143" s="18" t="s">
        <v>7559</v>
      </c>
      <c r="J1143" s="18" t="s">
        <v>7560</v>
      </c>
      <c r="K1143" s="18" t="s">
        <v>7561</v>
      </c>
      <c r="L1143" s="19">
        <v>70180</v>
      </c>
    </row>
    <row r="1144" spans="1:12" ht="18" customHeight="1">
      <c r="A1144" s="16" t="s">
        <v>7562</v>
      </c>
      <c r="B1144" s="17" t="s">
        <v>7563</v>
      </c>
      <c r="C1144" s="18" t="s">
        <v>7564</v>
      </c>
      <c r="D1144" s="18" t="s">
        <v>7565</v>
      </c>
      <c r="E1144" s="18" t="s">
        <v>7566</v>
      </c>
      <c r="F1144" s="18" t="s">
        <v>2547</v>
      </c>
      <c r="G1144" s="18" t="s">
        <v>237</v>
      </c>
      <c r="H1144" s="18" t="s">
        <v>68</v>
      </c>
      <c r="I1144" s="18" t="s">
        <v>7567</v>
      </c>
      <c r="J1144" s="18" t="s">
        <v>7568</v>
      </c>
      <c r="K1144" s="18" t="s">
        <v>1526</v>
      </c>
      <c r="L1144" s="19">
        <v>22940</v>
      </c>
    </row>
    <row r="1145" spans="1:12" ht="18" customHeight="1">
      <c r="A1145" s="16" t="s">
        <v>7569</v>
      </c>
      <c r="B1145" s="17" t="s">
        <v>7570</v>
      </c>
      <c r="C1145" s="18" t="s">
        <v>7571</v>
      </c>
      <c r="D1145" s="18" t="s">
        <v>7572</v>
      </c>
      <c r="E1145" s="18" t="s">
        <v>7573</v>
      </c>
      <c r="F1145" s="18" t="s">
        <v>2547</v>
      </c>
      <c r="G1145" s="18" t="s">
        <v>237</v>
      </c>
      <c r="H1145" s="18" t="s">
        <v>197</v>
      </c>
      <c r="I1145" s="18" t="s">
        <v>7574</v>
      </c>
      <c r="J1145" s="18" t="s">
        <v>7575</v>
      </c>
      <c r="K1145" s="18" t="s">
        <v>7576</v>
      </c>
      <c r="L1145" s="19">
        <v>84600</v>
      </c>
    </row>
    <row r="1146" spans="1:12" ht="18" customHeight="1">
      <c r="A1146" s="16" t="s">
        <v>7577</v>
      </c>
      <c r="B1146" s="17" t="s">
        <v>7578</v>
      </c>
      <c r="C1146" s="18" t="s">
        <v>7579</v>
      </c>
      <c r="D1146" s="18" t="s">
        <v>7580</v>
      </c>
      <c r="E1146" s="18" t="s">
        <v>7581</v>
      </c>
      <c r="F1146" s="18" t="s">
        <v>2547</v>
      </c>
      <c r="G1146" s="18" t="s">
        <v>237</v>
      </c>
      <c r="H1146" s="18" t="s">
        <v>121</v>
      </c>
      <c r="I1146" s="18" t="s">
        <v>7582</v>
      </c>
      <c r="J1146" s="18" t="s">
        <v>7583</v>
      </c>
      <c r="K1146" s="18" t="s">
        <v>7584</v>
      </c>
      <c r="L1146" s="19">
        <v>35690</v>
      </c>
    </row>
    <row r="1147" spans="1:12" ht="18" customHeight="1">
      <c r="A1147" s="16" t="s">
        <v>7585</v>
      </c>
      <c r="B1147" s="17" t="s">
        <v>7586</v>
      </c>
      <c r="C1147" s="18" t="s">
        <v>7587</v>
      </c>
      <c r="D1147" s="18" t="s">
        <v>7588</v>
      </c>
      <c r="E1147" s="18" t="s">
        <v>7589</v>
      </c>
      <c r="F1147" s="18" t="s">
        <v>2547</v>
      </c>
      <c r="G1147" s="18" t="s">
        <v>237</v>
      </c>
      <c r="H1147" s="18" t="s">
        <v>1153</v>
      </c>
      <c r="I1147" s="18" t="s">
        <v>7590</v>
      </c>
      <c r="J1147" s="18" t="s">
        <v>7591</v>
      </c>
      <c r="K1147" s="18" t="s">
        <v>7592</v>
      </c>
      <c r="L1147" s="19">
        <v>71810</v>
      </c>
    </row>
    <row r="1148" spans="1:12" ht="18" customHeight="1">
      <c r="A1148" s="16" t="s">
        <v>7593</v>
      </c>
      <c r="B1148" s="17" t="s">
        <v>7594</v>
      </c>
      <c r="C1148" s="18" t="s">
        <v>7595</v>
      </c>
      <c r="D1148" s="18" t="s">
        <v>7596</v>
      </c>
      <c r="E1148" s="18" t="s">
        <v>7597</v>
      </c>
      <c r="F1148" s="18" t="s">
        <v>2547</v>
      </c>
      <c r="G1148" s="18" t="s">
        <v>237</v>
      </c>
      <c r="H1148" s="18" t="s">
        <v>152</v>
      </c>
      <c r="I1148" s="18" t="s">
        <v>7598</v>
      </c>
      <c r="J1148" s="18" t="s">
        <v>7599</v>
      </c>
      <c r="K1148" s="18" t="s">
        <v>7600</v>
      </c>
      <c r="L1148" s="19">
        <v>63310</v>
      </c>
    </row>
    <row r="1149" spans="1:12" ht="18" customHeight="1">
      <c r="A1149" s="16" t="s">
        <v>7601</v>
      </c>
      <c r="B1149" s="17" t="s">
        <v>7602</v>
      </c>
      <c r="C1149" s="18" t="s">
        <v>7603</v>
      </c>
      <c r="D1149" s="18" t="s">
        <v>7604</v>
      </c>
      <c r="E1149" s="18" t="s">
        <v>7605</v>
      </c>
      <c r="F1149" s="18" t="s">
        <v>2547</v>
      </c>
      <c r="G1149" s="18" t="s">
        <v>237</v>
      </c>
      <c r="H1149" s="18" t="s">
        <v>121</v>
      </c>
      <c r="I1149" s="18" t="s">
        <v>7606</v>
      </c>
      <c r="J1149" s="18" t="s">
        <v>7607</v>
      </c>
      <c r="K1149" s="18" t="s">
        <v>7608</v>
      </c>
      <c r="L1149" s="19">
        <v>34600</v>
      </c>
    </row>
    <row r="1150" spans="1:12" ht="18" customHeight="1">
      <c r="A1150" s="16" t="s">
        <v>7609</v>
      </c>
      <c r="B1150" s="17" t="s">
        <v>7610</v>
      </c>
      <c r="C1150" s="18" t="s">
        <v>7611</v>
      </c>
      <c r="D1150" s="18" t="s">
        <v>7612</v>
      </c>
      <c r="E1150" s="18" t="s">
        <v>7613</v>
      </c>
      <c r="F1150" s="18" t="s">
        <v>2547</v>
      </c>
      <c r="G1150" s="18" t="s">
        <v>237</v>
      </c>
      <c r="H1150" s="18" t="s">
        <v>294</v>
      </c>
      <c r="I1150" s="18" t="s">
        <v>7614</v>
      </c>
      <c r="J1150" s="18" t="s">
        <v>7615</v>
      </c>
      <c r="K1150" s="18" t="s">
        <v>7616</v>
      </c>
      <c r="L1150" s="19">
        <v>52600</v>
      </c>
    </row>
    <row r="1151" spans="1:12" ht="18" customHeight="1">
      <c r="A1151" s="16" t="s">
        <v>7617</v>
      </c>
      <c r="B1151" s="17" t="s">
        <v>7618</v>
      </c>
      <c r="C1151" s="18" t="s">
        <v>7619</v>
      </c>
      <c r="D1151" s="18" t="s">
        <v>7620</v>
      </c>
      <c r="E1151" s="18" t="s">
        <v>7621</v>
      </c>
      <c r="F1151" s="18" t="s">
        <v>2547</v>
      </c>
      <c r="G1151" s="18" t="s">
        <v>237</v>
      </c>
      <c r="H1151" s="18" t="s">
        <v>616</v>
      </c>
      <c r="I1151" s="18" t="s">
        <v>7622</v>
      </c>
      <c r="J1151" s="18" t="s">
        <v>7623</v>
      </c>
      <c r="K1151" s="18" t="s">
        <v>7624</v>
      </c>
      <c r="L1151" s="19">
        <v>95830</v>
      </c>
    </row>
    <row r="1152" spans="1:12" ht="18" customHeight="1">
      <c r="A1152" s="16" t="s">
        <v>7625</v>
      </c>
      <c r="B1152" s="17" t="s">
        <v>7626</v>
      </c>
      <c r="C1152" s="18" t="s">
        <v>7627</v>
      </c>
      <c r="D1152" s="18" t="s">
        <v>7628</v>
      </c>
      <c r="E1152" s="18" t="s">
        <v>7629</v>
      </c>
      <c r="F1152" s="18" t="s">
        <v>2547</v>
      </c>
      <c r="G1152" s="18" t="s">
        <v>237</v>
      </c>
      <c r="H1152" s="18" t="s">
        <v>99</v>
      </c>
      <c r="I1152" s="18" t="s">
        <v>7630</v>
      </c>
      <c r="J1152" s="18" t="s">
        <v>7631</v>
      </c>
      <c r="K1152" s="18" t="s">
        <v>7632</v>
      </c>
      <c r="L1152" s="19">
        <v>33620</v>
      </c>
    </row>
    <row r="1153" spans="1:12" ht="18" customHeight="1">
      <c r="A1153" s="16" t="s">
        <v>7633</v>
      </c>
      <c r="B1153" s="17" t="s">
        <v>7634</v>
      </c>
      <c r="C1153" s="18" t="s">
        <v>7635</v>
      </c>
      <c r="D1153" s="18" t="s">
        <v>7636</v>
      </c>
      <c r="E1153" s="18" t="s">
        <v>7637</v>
      </c>
      <c r="F1153" s="18" t="s">
        <v>2547</v>
      </c>
      <c r="G1153" s="18" t="s">
        <v>237</v>
      </c>
      <c r="H1153" s="18" t="s">
        <v>76</v>
      </c>
      <c r="I1153" s="18" t="s">
        <v>7638</v>
      </c>
      <c r="J1153" s="18" t="s">
        <v>7639</v>
      </c>
      <c r="K1153" s="18" t="s">
        <v>7640</v>
      </c>
      <c r="L1153" s="19">
        <v>23938</v>
      </c>
    </row>
    <row r="1154" spans="1:12" ht="18" customHeight="1">
      <c r="A1154" s="16" t="s">
        <v>7641</v>
      </c>
      <c r="B1154" s="17" t="s">
        <v>7642</v>
      </c>
      <c r="C1154" s="18" t="s">
        <v>7643</v>
      </c>
      <c r="D1154" s="18" t="s">
        <v>7644</v>
      </c>
      <c r="E1154" s="18" t="s">
        <v>7645</v>
      </c>
      <c r="F1154" s="18" t="s">
        <v>2547</v>
      </c>
      <c r="G1154" s="18" t="s">
        <v>237</v>
      </c>
      <c r="H1154" s="18" t="s">
        <v>1153</v>
      </c>
      <c r="I1154" s="18" t="s">
        <v>7646</v>
      </c>
      <c r="J1154" s="18" t="s">
        <v>7647</v>
      </c>
      <c r="K1154" s="18" t="s">
        <v>7648</v>
      </c>
      <c r="L1154" s="19">
        <v>69400</v>
      </c>
    </row>
    <row r="1155" spans="1:12" ht="18" customHeight="1">
      <c r="A1155" s="16" t="s">
        <v>7649</v>
      </c>
      <c r="B1155" s="17" t="s">
        <v>7650</v>
      </c>
      <c r="C1155" s="18" t="s">
        <v>7651</v>
      </c>
      <c r="D1155" s="18" t="s">
        <v>7652</v>
      </c>
      <c r="E1155" s="18" t="s">
        <v>7653</v>
      </c>
      <c r="F1155" s="18" t="s">
        <v>2547</v>
      </c>
      <c r="G1155" s="18" t="s">
        <v>237</v>
      </c>
      <c r="H1155" s="18" t="s">
        <v>128</v>
      </c>
      <c r="I1155" s="18" t="s">
        <v>7654</v>
      </c>
      <c r="J1155" s="18" t="s">
        <v>7655</v>
      </c>
      <c r="K1155" s="18" t="s">
        <v>7656</v>
      </c>
      <c r="L1155" s="19">
        <v>36135</v>
      </c>
    </row>
    <row r="1156" spans="1:12" ht="18" customHeight="1">
      <c r="A1156" s="16" t="s">
        <v>7657</v>
      </c>
      <c r="B1156" s="17" t="s">
        <v>7658</v>
      </c>
      <c r="C1156" s="18" t="s">
        <v>7659</v>
      </c>
      <c r="D1156" s="18" t="s">
        <v>7660</v>
      </c>
      <c r="E1156" s="18" t="s">
        <v>7661</v>
      </c>
      <c r="F1156" s="18" t="s">
        <v>2547</v>
      </c>
      <c r="G1156" s="18" t="s">
        <v>237</v>
      </c>
      <c r="H1156" s="18" t="s">
        <v>504</v>
      </c>
      <c r="I1156" s="18" t="s">
        <v>7662</v>
      </c>
      <c r="J1156" s="18" t="s">
        <v>7663</v>
      </c>
      <c r="K1156" s="18" t="s">
        <v>507</v>
      </c>
      <c r="L1156" s="19">
        <v>81900</v>
      </c>
    </row>
    <row r="1157" spans="1:12" ht="18" customHeight="1">
      <c r="A1157" s="16" t="s">
        <v>7664</v>
      </c>
      <c r="B1157" s="17" t="s">
        <v>7665</v>
      </c>
      <c r="C1157" s="18" t="s">
        <v>7666</v>
      </c>
      <c r="D1157" s="18" t="s">
        <v>7667</v>
      </c>
      <c r="E1157" s="18" t="s">
        <v>7668</v>
      </c>
      <c r="F1157" s="18" t="s">
        <v>2547</v>
      </c>
      <c r="G1157" s="18" t="s">
        <v>237</v>
      </c>
      <c r="H1157" s="18" t="s">
        <v>190</v>
      </c>
      <c r="I1157" s="18" t="s">
        <v>7669</v>
      </c>
      <c r="J1157" s="18" t="s">
        <v>7670</v>
      </c>
      <c r="K1157" s="18" t="s">
        <v>7671</v>
      </c>
      <c r="L1157" s="19">
        <v>78433</v>
      </c>
    </row>
    <row r="1158" spans="1:12" ht="18" customHeight="1">
      <c r="A1158" s="16" t="s">
        <v>7672</v>
      </c>
      <c r="B1158" s="17" t="s">
        <v>7673</v>
      </c>
      <c r="C1158" s="18" t="s">
        <v>7674</v>
      </c>
      <c r="D1158" s="18" t="s">
        <v>7675</v>
      </c>
      <c r="E1158" s="18" t="s">
        <v>7676</v>
      </c>
      <c r="F1158" s="18" t="s">
        <v>2547</v>
      </c>
      <c r="G1158" s="18" t="s">
        <v>237</v>
      </c>
      <c r="H1158" s="18" t="s">
        <v>228</v>
      </c>
      <c r="I1158" s="18" t="s">
        <v>7677</v>
      </c>
      <c r="J1158" s="18" t="s">
        <v>7678</v>
      </c>
      <c r="K1158" s="18" t="s">
        <v>7679</v>
      </c>
      <c r="L1158" s="19">
        <v>99100</v>
      </c>
    </row>
    <row r="1159" spans="1:12" ht="18" customHeight="1">
      <c r="A1159" s="16" t="s">
        <v>7680</v>
      </c>
      <c r="B1159" s="17" t="s">
        <v>7681</v>
      </c>
      <c r="C1159" s="18" t="s">
        <v>7682</v>
      </c>
      <c r="D1159" s="18" t="s">
        <v>7683</v>
      </c>
      <c r="E1159" s="18" t="s">
        <v>7684</v>
      </c>
      <c r="F1159" s="18" t="s">
        <v>2547</v>
      </c>
      <c r="G1159" s="18" t="s">
        <v>237</v>
      </c>
      <c r="H1159" s="18" t="s">
        <v>197</v>
      </c>
      <c r="I1159" s="18" t="s">
        <v>7685</v>
      </c>
      <c r="J1159" s="18" t="s">
        <v>7686</v>
      </c>
      <c r="K1159" s="18" t="s">
        <v>200</v>
      </c>
      <c r="L1159" s="19">
        <v>83570</v>
      </c>
    </row>
    <row r="1160" spans="1:12" ht="18" customHeight="1">
      <c r="A1160" s="16" t="s">
        <v>7687</v>
      </c>
      <c r="B1160" s="17" t="s">
        <v>7688</v>
      </c>
      <c r="C1160" s="18" t="s">
        <v>7689</v>
      </c>
      <c r="D1160" s="18" t="s">
        <v>7690</v>
      </c>
      <c r="E1160" s="18" t="s">
        <v>7691</v>
      </c>
      <c r="F1160" s="18" t="s">
        <v>2547</v>
      </c>
      <c r="G1160" s="18" t="s">
        <v>237</v>
      </c>
      <c r="H1160" s="18" t="s">
        <v>1186</v>
      </c>
      <c r="I1160" s="18" t="s">
        <v>7692</v>
      </c>
      <c r="J1160" s="18" t="s">
        <v>7693</v>
      </c>
      <c r="K1160" s="18" t="s">
        <v>7694</v>
      </c>
      <c r="L1160" s="19">
        <v>81650</v>
      </c>
    </row>
    <row r="1161" spans="1:12" ht="18" customHeight="1">
      <c r="A1161" s="16" t="s">
        <v>7695</v>
      </c>
      <c r="B1161" s="17" t="s">
        <v>7696</v>
      </c>
      <c r="C1161" s="18" t="s">
        <v>7697</v>
      </c>
      <c r="D1161" s="18" t="s">
        <v>7698</v>
      </c>
      <c r="E1161" s="18" t="s">
        <v>7699</v>
      </c>
      <c r="F1161" s="18" t="s">
        <v>2547</v>
      </c>
      <c r="G1161" s="18" t="s">
        <v>237</v>
      </c>
      <c r="H1161" s="18" t="s">
        <v>205</v>
      </c>
      <c r="I1161" s="18" t="s">
        <v>7700</v>
      </c>
      <c r="J1161" s="18" t="s">
        <v>7701</v>
      </c>
      <c r="K1161" s="18" t="s">
        <v>7702</v>
      </c>
      <c r="L1161" s="19">
        <v>86870</v>
      </c>
    </row>
    <row r="1162" spans="1:12" ht="18" customHeight="1">
      <c r="A1162" s="16" t="s">
        <v>7703</v>
      </c>
      <c r="B1162" s="17" t="s">
        <v>7704</v>
      </c>
      <c r="C1162" s="18" t="s">
        <v>7705</v>
      </c>
      <c r="D1162" s="18" t="s">
        <v>7706</v>
      </c>
      <c r="E1162" s="18" t="s">
        <v>7707</v>
      </c>
      <c r="F1162" s="18" t="s">
        <v>2547</v>
      </c>
      <c r="G1162" s="18" t="s">
        <v>237</v>
      </c>
      <c r="H1162" s="18" t="s">
        <v>1153</v>
      </c>
      <c r="I1162" s="18" t="s">
        <v>7708</v>
      </c>
      <c r="J1162" s="18" t="s">
        <v>7709</v>
      </c>
      <c r="K1162" s="18" t="s">
        <v>7710</v>
      </c>
      <c r="L1162" s="19">
        <v>69510</v>
      </c>
    </row>
    <row r="1163" spans="1:12" ht="18" customHeight="1">
      <c r="A1163" s="16" t="s">
        <v>7711</v>
      </c>
      <c r="B1163" s="17" t="s">
        <v>7712</v>
      </c>
      <c r="C1163" s="18" t="s">
        <v>7713</v>
      </c>
      <c r="D1163" s="18" t="s">
        <v>7714</v>
      </c>
      <c r="E1163" s="18" t="s">
        <v>7715</v>
      </c>
      <c r="F1163" s="18" t="s">
        <v>2547</v>
      </c>
      <c r="G1163" s="18" t="s">
        <v>237</v>
      </c>
      <c r="H1163" s="18" t="s">
        <v>190</v>
      </c>
      <c r="I1163" s="18" t="s">
        <v>7716</v>
      </c>
      <c r="J1163" s="18" t="s">
        <v>7717</v>
      </c>
      <c r="K1163" s="18" t="s">
        <v>7718</v>
      </c>
      <c r="L1163" s="19">
        <v>79800</v>
      </c>
    </row>
    <row r="1164" spans="1:12" ht="18" customHeight="1">
      <c r="A1164" s="16" t="s">
        <v>7719</v>
      </c>
      <c r="B1164" s="17" t="s">
        <v>7720</v>
      </c>
      <c r="C1164" s="18" t="s">
        <v>7721</v>
      </c>
      <c r="D1164" s="18" t="s">
        <v>7722</v>
      </c>
      <c r="E1164" s="18" t="s">
        <v>7723</v>
      </c>
      <c r="F1164" s="18" t="s">
        <v>2547</v>
      </c>
      <c r="G1164" s="18" t="s">
        <v>237</v>
      </c>
      <c r="H1164" s="18" t="s">
        <v>190</v>
      </c>
      <c r="I1164" s="18" t="s">
        <v>7724</v>
      </c>
      <c r="J1164" s="18" t="s">
        <v>7725</v>
      </c>
      <c r="K1164" s="18" t="s">
        <v>7726</v>
      </c>
      <c r="L1164" s="19">
        <v>79840</v>
      </c>
    </row>
    <row r="1165" spans="1:12" ht="18" customHeight="1">
      <c r="A1165" s="16" t="s">
        <v>7727</v>
      </c>
      <c r="B1165" s="17" t="s">
        <v>7728</v>
      </c>
      <c r="C1165" s="18" t="s">
        <v>7729</v>
      </c>
      <c r="D1165" s="18" t="s">
        <v>7730</v>
      </c>
      <c r="E1165" s="18" t="s">
        <v>7731</v>
      </c>
      <c r="F1165" s="18" t="s">
        <v>2547</v>
      </c>
      <c r="G1165" s="18" t="s">
        <v>237</v>
      </c>
      <c r="H1165" s="18" t="s">
        <v>616</v>
      </c>
      <c r="I1165" s="18" t="s">
        <v>7732</v>
      </c>
      <c r="J1165" s="18" t="s">
        <v>7733</v>
      </c>
      <c r="K1165" s="18" t="s">
        <v>7734</v>
      </c>
      <c r="L1165" s="19">
        <v>92101</v>
      </c>
    </row>
    <row r="1166" spans="1:12" ht="18" customHeight="1">
      <c r="A1166" s="16" t="s">
        <v>7735</v>
      </c>
      <c r="B1166" s="17" t="s">
        <v>7736</v>
      </c>
      <c r="C1166" s="18" t="s">
        <v>7737</v>
      </c>
      <c r="D1166" s="18" t="s">
        <v>7738</v>
      </c>
      <c r="E1166" s="18" t="s">
        <v>7739</v>
      </c>
      <c r="F1166" s="18" t="s">
        <v>2547</v>
      </c>
      <c r="G1166" s="18" t="s">
        <v>237</v>
      </c>
      <c r="H1166" s="18" t="s">
        <v>583</v>
      </c>
      <c r="I1166" s="18" t="s">
        <v>7740</v>
      </c>
      <c r="J1166" s="18" t="s">
        <v>7741</v>
      </c>
      <c r="K1166" s="18" t="s">
        <v>7742</v>
      </c>
      <c r="L1166" s="19">
        <v>42380</v>
      </c>
    </row>
    <row r="1167" spans="1:12" ht="18" customHeight="1">
      <c r="A1167" s="16" t="s">
        <v>7743</v>
      </c>
      <c r="B1167" s="17" t="s">
        <v>7744</v>
      </c>
      <c r="C1167" s="18" t="s">
        <v>7745</v>
      </c>
      <c r="D1167" s="18" t="s">
        <v>7746</v>
      </c>
      <c r="E1167" s="18" t="s">
        <v>7747</v>
      </c>
      <c r="F1167" s="18" t="s">
        <v>2547</v>
      </c>
      <c r="G1167" s="18" t="s">
        <v>237</v>
      </c>
      <c r="H1167" s="18" t="s">
        <v>136</v>
      </c>
      <c r="I1167" s="18" t="s">
        <v>7748</v>
      </c>
      <c r="J1167" s="18" t="s">
        <v>7749</v>
      </c>
      <c r="K1167" s="18" t="s">
        <v>7750</v>
      </c>
      <c r="L1167" s="19">
        <v>40200</v>
      </c>
    </row>
    <row r="1168" spans="1:12" ht="18" customHeight="1">
      <c r="A1168" s="16" t="s">
        <v>7751</v>
      </c>
      <c r="B1168" s="17" t="s">
        <v>7752</v>
      </c>
      <c r="C1168" s="18" t="s">
        <v>7753</v>
      </c>
      <c r="D1168" s="18" t="s">
        <v>7754</v>
      </c>
      <c r="E1168" s="18" t="s">
        <v>7755</v>
      </c>
      <c r="F1168" s="18" t="s">
        <v>2547</v>
      </c>
      <c r="G1168" s="18" t="s">
        <v>237</v>
      </c>
      <c r="H1168" s="18" t="s">
        <v>205</v>
      </c>
      <c r="I1168" s="18" t="s">
        <v>7756</v>
      </c>
      <c r="J1168" s="18" t="s">
        <v>7757</v>
      </c>
      <c r="K1168" s="18" t="s">
        <v>7758</v>
      </c>
      <c r="L1168" s="19">
        <v>86000</v>
      </c>
    </row>
    <row r="1169" spans="1:12" ht="18" customHeight="1">
      <c r="A1169" s="16" t="s">
        <v>7759</v>
      </c>
      <c r="B1169" s="17" t="s">
        <v>7760</v>
      </c>
      <c r="C1169" s="18" t="s">
        <v>7761</v>
      </c>
      <c r="D1169" s="18" t="s">
        <v>7762</v>
      </c>
      <c r="E1169" s="18" t="s">
        <v>7763</v>
      </c>
      <c r="F1169" s="18" t="s">
        <v>2547</v>
      </c>
      <c r="G1169" s="18" t="s">
        <v>237</v>
      </c>
      <c r="H1169" s="18" t="s">
        <v>168</v>
      </c>
      <c r="I1169" s="18" t="s">
        <v>7764</v>
      </c>
      <c r="J1169" s="18" t="s">
        <v>7765</v>
      </c>
      <c r="K1169" s="18" t="s">
        <v>7766</v>
      </c>
      <c r="L1169" s="19">
        <v>75482</v>
      </c>
    </row>
    <row r="1170" spans="1:12" ht="18" customHeight="1">
      <c r="A1170" s="16" t="s">
        <v>7767</v>
      </c>
      <c r="B1170" s="17" t="s">
        <v>7768</v>
      </c>
      <c r="C1170" s="18" t="s">
        <v>7769</v>
      </c>
      <c r="D1170" s="18" t="s">
        <v>7770</v>
      </c>
      <c r="E1170" s="18" t="s">
        <v>7771</v>
      </c>
      <c r="F1170" s="18" t="s">
        <v>2547</v>
      </c>
      <c r="G1170" s="18" t="s">
        <v>237</v>
      </c>
      <c r="H1170" s="18" t="s">
        <v>68</v>
      </c>
      <c r="I1170" s="18" t="s">
        <v>7772</v>
      </c>
      <c r="J1170" s="18" t="s">
        <v>7773</v>
      </c>
      <c r="K1170" s="18" t="s">
        <v>7774</v>
      </c>
      <c r="L1170" s="19">
        <v>21478</v>
      </c>
    </row>
    <row r="1171" spans="1:12" ht="18" customHeight="1">
      <c r="A1171" s="16" t="s">
        <v>7775</v>
      </c>
      <c r="B1171" s="17" t="s">
        <v>7776</v>
      </c>
      <c r="C1171" s="18" t="s">
        <v>7777</v>
      </c>
      <c r="D1171" s="18" t="s">
        <v>7778</v>
      </c>
      <c r="E1171" s="18" t="s">
        <v>7779</v>
      </c>
      <c r="F1171" s="18" t="s">
        <v>2547</v>
      </c>
      <c r="G1171" s="18" t="s">
        <v>237</v>
      </c>
      <c r="H1171" s="18" t="s">
        <v>144</v>
      </c>
      <c r="I1171" s="18" t="s">
        <v>7780</v>
      </c>
      <c r="J1171" s="18" t="s">
        <v>7781</v>
      </c>
      <c r="K1171" s="18" t="s">
        <v>7782</v>
      </c>
      <c r="L1171" s="19">
        <v>97970</v>
      </c>
    </row>
    <row r="1172" spans="1:12" ht="18" customHeight="1">
      <c r="A1172" s="16" t="s">
        <v>7783</v>
      </c>
      <c r="B1172" s="17" t="s">
        <v>7784</v>
      </c>
      <c r="C1172" s="18" t="s">
        <v>7785</v>
      </c>
      <c r="D1172" s="18" t="s">
        <v>7786</v>
      </c>
      <c r="E1172" s="18" t="s">
        <v>7787</v>
      </c>
      <c r="F1172" s="18" t="s">
        <v>2547</v>
      </c>
      <c r="G1172" s="18" t="s">
        <v>237</v>
      </c>
      <c r="H1172" s="18" t="s">
        <v>136</v>
      </c>
      <c r="I1172" s="18" t="s">
        <v>7788</v>
      </c>
      <c r="J1172" s="18" t="s">
        <v>7789</v>
      </c>
      <c r="K1172" s="18" t="s">
        <v>136</v>
      </c>
      <c r="L1172" s="19">
        <v>39270</v>
      </c>
    </row>
    <row r="1173" spans="1:12" ht="18" customHeight="1">
      <c r="A1173" s="16" t="s">
        <v>7790</v>
      </c>
      <c r="B1173" s="17" t="s">
        <v>7791</v>
      </c>
      <c r="C1173" s="18" t="s">
        <v>7792</v>
      </c>
      <c r="D1173" s="18" t="s">
        <v>7793</v>
      </c>
      <c r="E1173" s="18" t="s">
        <v>7794</v>
      </c>
      <c r="F1173" s="18" t="s">
        <v>2547</v>
      </c>
      <c r="G1173" s="18" t="s">
        <v>237</v>
      </c>
      <c r="H1173" s="18" t="s">
        <v>632</v>
      </c>
      <c r="I1173" s="18" t="s">
        <v>7795</v>
      </c>
      <c r="J1173" s="18" t="s">
        <v>7796</v>
      </c>
      <c r="K1173" s="18" t="s">
        <v>7797</v>
      </c>
      <c r="L1173" s="19">
        <v>48540</v>
      </c>
    </row>
    <row r="1174" spans="1:12" ht="18" customHeight="1">
      <c r="A1174" s="16" t="s">
        <v>7798</v>
      </c>
      <c r="B1174" s="17" t="s">
        <v>7799</v>
      </c>
      <c r="C1174" s="18" t="s">
        <v>7800</v>
      </c>
      <c r="D1174" s="18" t="s">
        <v>7801</v>
      </c>
      <c r="E1174" s="18" t="s">
        <v>7802</v>
      </c>
      <c r="F1174" s="18" t="s">
        <v>2547</v>
      </c>
      <c r="G1174" s="18" t="s">
        <v>237</v>
      </c>
      <c r="H1174" s="18" t="s">
        <v>114</v>
      </c>
      <c r="I1174" s="18" t="s">
        <v>7803</v>
      </c>
      <c r="J1174" s="18" t="s">
        <v>7804</v>
      </c>
      <c r="K1174" s="18" t="s">
        <v>7805</v>
      </c>
      <c r="L1174" s="19">
        <v>28160</v>
      </c>
    </row>
    <row r="1175" spans="1:12" ht="18" customHeight="1">
      <c r="A1175" s="16" t="s">
        <v>7806</v>
      </c>
      <c r="B1175" s="17" t="s">
        <v>7807</v>
      </c>
      <c r="C1175" s="18" t="s">
        <v>7808</v>
      </c>
      <c r="D1175" s="18" t="s">
        <v>7809</v>
      </c>
      <c r="E1175" s="18" t="s">
        <v>7810</v>
      </c>
      <c r="F1175" s="18" t="s">
        <v>2547</v>
      </c>
      <c r="G1175" s="18" t="s">
        <v>237</v>
      </c>
      <c r="H1175" s="18" t="s">
        <v>583</v>
      </c>
      <c r="I1175" s="18" t="s">
        <v>7811</v>
      </c>
      <c r="J1175" s="18" t="s">
        <v>7812</v>
      </c>
      <c r="K1175" s="18" t="s">
        <v>7813</v>
      </c>
      <c r="L1175" s="19">
        <v>42440</v>
      </c>
    </row>
    <row r="1176" spans="1:12" ht="18" customHeight="1">
      <c r="A1176" s="16" t="s">
        <v>7814</v>
      </c>
      <c r="B1176" s="17" t="s">
        <v>7815</v>
      </c>
      <c r="C1176" s="18" t="s">
        <v>7816</v>
      </c>
      <c r="D1176" s="18" t="s">
        <v>7817</v>
      </c>
      <c r="E1176" s="18" t="s">
        <v>7818</v>
      </c>
      <c r="F1176" s="18" t="s">
        <v>2547</v>
      </c>
      <c r="G1176" s="18" t="s">
        <v>237</v>
      </c>
      <c r="H1176" s="18" t="s">
        <v>152</v>
      </c>
      <c r="I1176" s="18" t="s">
        <v>7819</v>
      </c>
      <c r="J1176" s="18" t="s">
        <v>7820</v>
      </c>
      <c r="K1176" s="18" t="s">
        <v>7821</v>
      </c>
      <c r="L1176" s="19">
        <v>63440</v>
      </c>
    </row>
    <row r="1177" spans="1:12" ht="18" customHeight="1">
      <c r="A1177" s="16" t="s">
        <v>7822</v>
      </c>
      <c r="B1177" s="17" t="s">
        <v>7823</v>
      </c>
      <c r="C1177" s="18" t="s">
        <v>7824</v>
      </c>
      <c r="D1177" s="18" t="s">
        <v>7825</v>
      </c>
      <c r="E1177" s="18" t="s">
        <v>7826</v>
      </c>
      <c r="F1177" s="18" t="s">
        <v>2547</v>
      </c>
      <c r="G1177" s="18" t="s">
        <v>237</v>
      </c>
      <c r="H1177" s="18" t="s">
        <v>294</v>
      </c>
      <c r="I1177" s="18" t="s">
        <v>7827</v>
      </c>
      <c r="J1177" s="18" t="s">
        <v>7828</v>
      </c>
      <c r="K1177" s="18" t="s">
        <v>7829</v>
      </c>
      <c r="L1177" s="19">
        <v>51400</v>
      </c>
    </row>
    <row r="1178" spans="1:12" ht="18" customHeight="1">
      <c r="A1178" s="16" t="s">
        <v>7830</v>
      </c>
      <c r="B1178" s="17" t="s">
        <v>7831</v>
      </c>
      <c r="C1178" s="18" t="s">
        <v>7832</v>
      </c>
      <c r="D1178" s="18" t="s">
        <v>7833</v>
      </c>
      <c r="E1178" s="18" t="s">
        <v>7834</v>
      </c>
      <c r="F1178" s="18" t="s">
        <v>2547</v>
      </c>
      <c r="G1178" s="18" t="s">
        <v>237</v>
      </c>
      <c r="H1178" s="18" t="s">
        <v>1153</v>
      </c>
      <c r="I1178" s="18" t="s">
        <v>7835</v>
      </c>
      <c r="J1178" s="18" t="s">
        <v>7836</v>
      </c>
      <c r="K1178" s="18" t="s">
        <v>7837</v>
      </c>
      <c r="L1178" s="19">
        <v>68213</v>
      </c>
    </row>
    <row r="1179" spans="1:12" ht="18" customHeight="1">
      <c r="A1179" s="16" t="s">
        <v>7838</v>
      </c>
      <c r="B1179" s="17" t="s">
        <v>7839</v>
      </c>
      <c r="C1179" s="18" t="s">
        <v>7840</v>
      </c>
      <c r="D1179" s="18" t="s">
        <v>7841</v>
      </c>
      <c r="E1179" s="18" t="s">
        <v>7842</v>
      </c>
      <c r="F1179" s="18" t="s">
        <v>2547</v>
      </c>
      <c r="G1179" s="18" t="s">
        <v>237</v>
      </c>
      <c r="H1179" s="18" t="s">
        <v>136</v>
      </c>
      <c r="I1179" s="18" t="s">
        <v>7843</v>
      </c>
      <c r="J1179" s="18" t="s">
        <v>7844</v>
      </c>
      <c r="K1179" s="18" t="s">
        <v>7845</v>
      </c>
      <c r="L1179" s="19">
        <v>40400</v>
      </c>
    </row>
    <row r="1180" spans="1:12" ht="18" customHeight="1">
      <c r="A1180" s="16" t="s">
        <v>7846</v>
      </c>
      <c r="B1180" s="17" t="s">
        <v>7847</v>
      </c>
      <c r="C1180" s="18" t="s">
        <v>7848</v>
      </c>
      <c r="D1180" s="18" t="s">
        <v>7849</v>
      </c>
      <c r="E1180" s="18" t="s">
        <v>7850</v>
      </c>
      <c r="F1180" s="18" t="s">
        <v>2547</v>
      </c>
      <c r="G1180" s="18" t="s">
        <v>237</v>
      </c>
      <c r="H1180" s="18" t="s">
        <v>1153</v>
      </c>
      <c r="I1180" s="18" t="s">
        <v>7851</v>
      </c>
      <c r="J1180" s="18" t="s">
        <v>7852</v>
      </c>
      <c r="K1180" s="18" t="s">
        <v>7853</v>
      </c>
      <c r="L1180" s="19">
        <v>68430</v>
      </c>
    </row>
    <row r="1181" spans="1:12" ht="18" customHeight="1">
      <c r="A1181" s="16" t="s">
        <v>7854</v>
      </c>
      <c r="B1181" s="17" t="s">
        <v>7855</v>
      </c>
      <c r="C1181" s="18" t="s">
        <v>7856</v>
      </c>
      <c r="D1181" s="18" t="s">
        <v>7857</v>
      </c>
      <c r="E1181" s="18" t="s">
        <v>7858</v>
      </c>
      <c r="F1181" s="18" t="s">
        <v>2547</v>
      </c>
      <c r="G1181" s="18" t="s">
        <v>237</v>
      </c>
      <c r="H1181" s="18" t="s">
        <v>351</v>
      </c>
      <c r="I1181" s="18" t="s">
        <v>7859</v>
      </c>
      <c r="J1181" s="18" t="s">
        <v>7860</v>
      </c>
      <c r="K1181" s="18" t="s">
        <v>7861</v>
      </c>
      <c r="L1181" s="19">
        <v>62580</v>
      </c>
    </row>
    <row r="1182" spans="1:12" ht="18" customHeight="1">
      <c r="A1182" s="16" t="s">
        <v>7862</v>
      </c>
      <c r="B1182" s="17" t="s">
        <v>7863</v>
      </c>
      <c r="C1182" s="18" t="s">
        <v>7864</v>
      </c>
      <c r="D1182" s="18" t="s">
        <v>7865</v>
      </c>
      <c r="E1182" s="18" t="s">
        <v>7866</v>
      </c>
      <c r="F1182" s="18" t="s">
        <v>2547</v>
      </c>
      <c r="G1182" s="18" t="s">
        <v>237</v>
      </c>
      <c r="H1182" s="18" t="s">
        <v>294</v>
      </c>
      <c r="I1182" s="18" t="s">
        <v>7867</v>
      </c>
      <c r="J1182" s="18" t="s">
        <v>7868</v>
      </c>
      <c r="K1182" s="18" t="s">
        <v>7869</v>
      </c>
      <c r="L1182" s="19">
        <v>52400</v>
      </c>
    </row>
    <row r="1183" spans="1:12" ht="18" customHeight="1">
      <c r="A1183" s="16" t="s">
        <v>7870</v>
      </c>
      <c r="B1183" s="17" t="s">
        <v>7871</v>
      </c>
      <c r="C1183" s="18" t="s">
        <v>7872</v>
      </c>
      <c r="D1183" s="18" t="s">
        <v>7873</v>
      </c>
      <c r="E1183" s="18" t="s">
        <v>7874</v>
      </c>
      <c r="F1183" s="18" t="s">
        <v>2547</v>
      </c>
      <c r="G1183" s="18" t="s">
        <v>237</v>
      </c>
      <c r="H1183" s="18" t="s">
        <v>205</v>
      </c>
      <c r="I1183" s="18" t="s">
        <v>7875</v>
      </c>
      <c r="J1183" s="18" t="s">
        <v>7876</v>
      </c>
      <c r="K1183" s="18" t="s">
        <v>7877</v>
      </c>
      <c r="L1183" s="19">
        <v>86901</v>
      </c>
    </row>
    <row r="1184" spans="1:12" ht="18" customHeight="1">
      <c r="A1184" s="16" t="s">
        <v>7878</v>
      </c>
      <c r="B1184" s="17" t="s">
        <v>7879</v>
      </c>
      <c r="C1184" s="18" t="s">
        <v>7880</v>
      </c>
      <c r="D1184" s="18" t="s">
        <v>7881</v>
      </c>
      <c r="E1184" s="18" t="s">
        <v>7882</v>
      </c>
      <c r="F1184" s="18" t="s">
        <v>2547</v>
      </c>
      <c r="G1184" s="18" t="s">
        <v>237</v>
      </c>
      <c r="H1184" s="18" t="s">
        <v>632</v>
      </c>
      <c r="I1184" s="18" t="s">
        <v>7883</v>
      </c>
      <c r="J1184" s="18" t="s">
        <v>7884</v>
      </c>
      <c r="K1184" s="18" t="s">
        <v>7885</v>
      </c>
      <c r="L1184" s="19">
        <v>47200</v>
      </c>
    </row>
    <row r="1185" spans="1:12" ht="18" customHeight="1">
      <c r="A1185" s="16" t="s">
        <v>7886</v>
      </c>
      <c r="B1185" s="17" t="s">
        <v>7887</v>
      </c>
      <c r="C1185" s="18" t="s">
        <v>7888</v>
      </c>
      <c r="D1185" s="18" t="s">
        <v>7889</v>
      </c>
      <c r="E1185" s="18" t="s">
        <v>7890</v>
      </c>
      <c r="F1185" s="18" t="s">
        <v>2547</v>
      </c>
      <c r="G1185" s="18" t="s">
        <v>237</v>
      </c>
      <c r="H1185" s="18" t="s">
        <v>1153</v>
      </c>
      <c r="I1185" s="18" t="s">
        <v>7891</v>
      </c>
      <c r="J1185" s="18" t="s">
        <v>7892</v>
      </c>
      <c r="K1185" s="18" t="s">
        <v>7893</v>
      </c>
      <c r="L1185" s="19">
        <v>68540</v>
      </c>
    </row>
    <row r="1186" spans="1:12" ht="18" customHeight="1">
      <c r="A1186" s="16" t="s">
        <v>7894</v>
      </c>
      <c r="B1186" s="17" t="s">
        <v>7895</v>
      </c>
      <c r="C1186" s="18" t="s">
        <v>7896</v>
      </c>
      <c r="D1186" s="18" t="s">
        <v>7897</v>
      </c>
      <c r="E1186" s="18" t="s">
        <v>7898</v>
      </c>
      <c r="F1186" s="18" t="s">
        <v>2547</v>
      </c>
      <c r="G1186" s="18" t="s">
        <v>237</v>
      </c>
      <c r="H1186" s="18" t="s">
        <v>583</v>
      </c>
      <c r="I1186" s="18" t="s">
        <v>7899</v>
      </c>
      <c r="J1186" s="18" t="s">
        <v>7900</v>
      </c>
      <c r="K1186" s="18" t="s">
        <v>7901</v>
      </c>
      <c r="L1186" s="19">
        <v>42660</v>
      </c>
    </row>
    <row r="1187" spans="1:12" ht="18" customHeight="1">
      <c r="A1187" s="16" t="s">
        <v>7902</v>
      </c>
      <c r="B1187" s="17" t="s">
        <v>7903</v>
      </c>
      <c r="C1187" s="18" t="s">
        <v>7904</v>
      </c>
      <c r="D1187" s="18" t="s">
        <v>7905</v>
      </c>
      <c r="E1187" s="18" t="s">
        <v>7906</v>
      </c>
      <c r="F1187" s="18" t="s">
        <v>2547</v>
      </c>
      <c r="G1187" s="18" t="s">
        <v>237</v>
      </c>
      <c r="H1187" s="18" t="s">
        <v>632</v>
      </c>
      <c r="I1187" s="18" t="s">
        <v>7907</v>
      </c>
      <c r="J1187" s="18" t="s">
        <v>7908</v>
      </c>
      <c r="K1187" s="18" t="s">
        <v>7909</v>
      </c>
      <c r="L1187" s="19">
        <v>47600</v>
      </c>
    </row>
    <row r="1188" spans="1:12" ht="18" customHeight="1">
      <c r="A1188" s="16" t="s">
        <v>7910</v>
      </c>
      <c r="B1188" s="17" t="s">
        <v>7911</v>
      </c>
      <c r="C1188" s="18" t="s">
        <v>7912</v>
      </c>
      <c r="D1188" s="18" t="s">
        <v>7913</v>
      </c>
      <c r="E1188" s="18" t="s">
        <v>7914</v>
      </c>
      <c r="F1188" s="18" t="s">
        <v>2547</v>
      </c>
      <c r="G1188" s="18" t="s">
        <v>237</v>
      </c>
      <c r="H1188" s="18" t="s">
        <v>168</v>
      </c>
      <c r="I1188" s="18" t="s">
        <v>7915</v>
      </c>
      <c r="J1188" s="18" t="s">
        <v>7916</v>
      </c>
      <c r="K1188" s="18" t="s">
        <v>7917</v>
      </c>
      <c r="L1188" s="19">
        <v>75219</v>
      </c>
    </row>
    <row r="1189" spans="1:12" ht="18" customHeight="1">
      <c r="A1189" s="16" t="s">
        <v>7918</v>
      </c>
      <c r="B1189" s="17" t="s">
        <v>7919</v>
      </c>
      <c r="C1189" s="18" t="s">
        <v>7920</v>
      </c>
      <c r="D1189" s="18" t="s">
        <v>7921</v>
      </c>
      <c r="E1189" s="18" t="s">
        <v>7922</v>
      </c>
      <c r="F1189" s="18" t="s">
        <v>2547</v>
      </c>
      <c r="G1189" s="18" t="s">
        <v>237</v>
      </c>
      <c r="H1189" s="18" t="s">
        <v>583</v>
      </c>
      <c r="I1189" s="18" t="s">
        <v>7923</v>
      </c>
      <c r="J1189" s="18" t="s">
        <v>7924</v>
      </c>
      <c r="K1189" s="18" t="s">
        <v>7925</v>
      </c>
      <c r="L1189" s="19">
        <v>43990</v>
      </c>
    </row>
    <row r="1190" spans="1:12" ht="18" customHeight="1">
      <c r="A1190" s="16" t="s">
        <v>7926</v>
      </c>
      <c r="B1190" s="17" t="s">
        <v>7927</v>
      </c>
      <c r="C1190" s="18" t="s">
        <v>7928</v>
      </c>
      <c r="D1190" s="18" t="s">
        <v>7929</v>
      </c>
      <c r="E1190" s="18" t="s">
        <v>7930</v>
      </c>
      <c r="F1190" s="18" t="s">
        <v>2547</v>
      </c>
      <c r="G1190" s="18" t="s">
        <v>237</v>
      </c>
      <c r="H1190" s="18" t="s">
        <v>121</v>
      </c>
      <c r="I1190" s="18" t="s">
        <v>7931</v>
      </c>
      <c r="J1190" s="18" t="s">
        <v>7932</v>
      </c>
      <c r="K1190" s="18" t="s">
        <v>7933</v>
      </c>
      <c r="L1190" s="19">
        <v>35600</v>
      </c>
    </row>
    <row r="1191" spans="1:12" ht="18" customHeight="1">
      <c r="A1191" s="16" t="s">
        <v>7934</v>
      </c>
      <c r="B1191" s="17" t="s">
        <v>7935</v>
      </c>
      <c r="C1191" s="18" t="s">
        <v>7936</v>
      </c>
      <c r="D1191" s="18" t="s">
        <v>7937</v>
      </c>
      <c r="E1191" s="18" t="s">
        <v>7938</v>
      </c>
      <c r="F1191" s="18" t="s">
        <v>2547</v>
      </c>
      <c r="G1191" s="18" t="s">
        <v>237</v>
      </c>
      <c r="H1191" s="18" t="s">
        <v>583</v>
      </c>
      <c r="I1191" s="18" t="s">
        <v>7939</v>
      </c>
      <c r="J1191" s="18" t="s">
        <v>7940</v>
      </c>
      <c r="K1191" s="18" t="s">
        <v>7941</v>
      </c>
      <c r="L1191" s="19">
        <v>42854</v>
      </c>
    </row>
    <row r="1192" spans="1:12" ht="18" customHeight="1">
      <c r="A1192" s="16" t="s">
        <v>7942</v>
      </c>
      <c r="B1192" s="17" t="s">
        <v>7943</v>
      </c>
      <c r="C1192" s="18" t="s">
        <v>7944</v>
      </c>
      <c r="D1192" s="18" t="s">
        <v>7945</v>
      </c>
      <c r="E1192" s="18" t="s">
        <v>7946</v>
      </c>
      <c r="F1192" s="18" t="s">
        <v>2547</v>
      </c>
      <c r="G1192" s="18" t="s">
        <v>237</v>
      </c>
      <c r="H1192" s="18" t="s">
        <v>294</v>
      </c>
      <c r="I1192" s="18" t="s">
        <v>7947</v>
      </c>
      <c r="J1192" s="18" t="s">
        <v>7948</v>
      </c>
      <c r="K1192" s="18" t="s">
        <v>7949</v>
      </c>
      <c r="L1192" s="19">
        <v>55885</v>
      </c>
    </row>
    <row r="1193" spans="1:12" ht="18" customHeight="1">
      <c r="A1193" s="16" t="s">
        <v>7950</v>
      </c>
      <c r="B1193" s="17" t="s">
        <v>7951</v>
      </c>
      <c r="C1193" s="18" t="s">
        <v>7952</v>
      </c>
      <c r="D1193" s="18" t="s">
        <v>7953</v>
      </c>
      <c r="E1193" s="18" t="s">
        <v>7954</v>
      </c>
      <c r="F1193" s="18" t="s">
        <v>2547</v>
      </c>
      <c r="G1193" s="18" t="s">
        <v>237</v>
      </c>
      <c r="H1193" s="18" t="s">
        <v>175</v>
      </c>
      <c r="I1193" s="18" t="s">
        <v>7955</v>
      </c>
      <c r="J1193" s="18" t="s">
        <v>7956</v>
      </c>
      <c r="K1193" s="18" t="s">
        <v>7957</v>
      </c>
      <c r="L1193" s="19">
        <v>76750</v>
      </c>
    </row>
    <row r="1194" spans="1:12" ht="18" customHeight="1">
      <c r="A1194" s="16" t="s">
        <v>7958</v>
      </c>
      <c r="B1194" s="17" t="s">
        <v>7959</v>
      </c>
      <c r="C1194" s="18" t="s">
        <v>7960</v>
      </c>
      <c r="D1194" s="18" t="s">
        <v>7961</v>
      </c>
      <c r="E1194" s="18" t="s">
        <v>7962</v>
      </c>
      <c r="F1194" s="18" t="s">
        <v>2547</v>
      </c>
      <c r="G1194" s="18" t="s">
        <v>237</v>
      </c>
      <c r="H1194" s="18" t="s">
        <v>351</v>
      </c>
      <c r="I1194" s="18" t="s">
        <v>7963</v>
      </c>
      <c r="J1194" s="18" t="s">
        <v>7964</v>
      </c>
      <c r="K1194" s="18" t="s">
        <v>7965</v>
      </c>
      <c r="L1194" s="19">
        <v>62220</v>
      </c>
    </row>
    <row r="1195" spans="1:12" ht="18" customHeight="1">
      <c r="A1195" s="16" t="s">
        <v>7966</v>
      </c>
      <c r="B1195" s="17" t="s">
        <v>7967</v>
      </c>
      <c r="C1195" s="18" t="s">
        <v>7968</v>
      </c>
      <c r="D1195" s="18" t="s">
        <v>7969</v>
      </c>
      <c r="E1195" s="18" t="s">
        <v>7970</v>
      </c>
      <c r="F1195" s="18" t="s">
        <v>2547</v>
      </c>
      <c r="G1195" s="18" t="s">
        <v>237</v>
      </c>
      <c r="H1195" s="18" t="s">
        <v>583</v>
      </c>
      <c r="I1195" s="18" t="s">
        <v>7971</v>
      </c>
      <c r="J1195" s="18" t="s">
        <v>7972</v>
      </c>
      <c r="K1195" s="18" t="s">
        <v>7973</v>
      </c>
      <c r="L1195" s="19">
        <v>42760</v>
      </c>
    </row>
    <row r="1196" spans="1:12" ht="18" customHeight="1">
      <c r="A1196" s="16" t="s">
        <v>7974</v>
      </c>
      <c r="B1196" s="17" t="s">
        <v>7975</v>
      </c>
      <c r="C1196" s="18" t="s">
        <v>7976</v>
      </c>
      <c r="D1196" s="18" t="s">
        <v>7977</v>
      </c>
      <c r="E1196" s="18" t="s">
        <v>7978</v>
      </c>
      <c r="F1196" s="18" t="s">
        <v>2547</v>
      </c>
      <c r="G1196" s="18" t="s">
        <v>237</v>
      </c>
      <c r="H1196" s="18" t="s">
        <v>144</v>
      </c>
      <c r="I1196" s="18" t="s">
        <v>7979</v>
      </c>
      <c r="J1196" s="18" t="s">
        <v>7980</v>
      </c>
      <c r="K1196" s="18" t="s">
        <v>7981</v>
      </c>
      <c r="L1196" s="19">
        <v>97862</v>
      </c>
    </row>
    <row r="1197" spans="1:12" ht="18" customHeight="1">
      <c r="A1197" s="16" t="s">
        <v>7982</v>
      </c>
      <c r="B1197" s="17" t="s">
        <v>7983</v>
      </c>
      <c r="C1197" s="18" t="s">
        <v>7984</v>
      </c>
      <c r="D1197" s="18" t="s">
        <v>7985</v>
      </c>
      <c r="E1197" s="18" t="s">
        <v>7986</v>
      </c>
      <c r="F1197" s="18" t="s">
        <v>2547</v>
      </c>
      <c r="G1197" s="18" t="s">
        <v>237</v>
      </c>
      <c r="H1197" s="18" t="s">
        <v>616</v>
      </c>
      <c r="I1197" s="18" t="s">
        <v>7987</v>
      </c>
      <c r="J1197" s="18" t="s">
        <v>7988</v>
      </c>
      <c r="K1197" s="18" t="s">
        <v>616</v>
      </c>
      <c r="L1197" s="19">
        <v>95100</v>
      </c>
    </row>
    <row r="1198" spans="1:12" ht="18" customHeight="1">
      <c r="A1198" s="16" t="s">
        <v>7989</v>
      </c>
      <c r="B1198" s="17" t="s">
        <v>7990</v>
      </c>
      <c r="C1198" s="18" t="s">
        <v>7991</v>
      </c>
      <c r="D1198" s="18" t="s">
        <v>7992</v>
      </c>
      <c r="E1198" s="18" t="s">
        <v>7993</v>
      </c>
      <c r="F1198" s="18" t="s">
        <v>2547</v>
      </c>
      <c r="G1198" s="18" t="s">
        <v>237</v>
      </c>
      <c r="H1198" s="18" t="s">
        <v>136</v>
      </c>
      <c r="I1198" s="18" t="s">
        <v>7994</v>
      </c>
      <c r="J1198" s="18" t="s">
        <v>7995</v>
      </c>
      <c r="K1198" s="18" t="s">
        <v>7996</v>
      </c>
      <c r="L1198" s="19">
        <v>39940</v>
      </c>
    </row>
    <row r="1199" spans="1:12" ht="18" customHeight="1">
      <c r="A1199" s="16" t="s">
        <v>7997</v>
      </c>
      <c r="B1199" s="17" t="s">
        <v>7998</v>
      </c>
      <c r="C1199" s="18" t="s">
        <v>7999</v>
      </c>
      <c r="D1199" s="18" t="s">
        <v>8000</v>
      </c>
      <c r="E1199" s="18" t="s">
        <v>8001</v>
      </c>
      <c r="F1199" s="18" t="s">
        <v>2547</v>
      </c>
      <c r="G1199" s="18" t="s">
        <v>237</v>
      </c>
      <c r="H1199" s="18" t="s">
        <v>136</v>
      </c>
      <c r="I1199" s="18" t="s">
        <v>8002</v>
      </c>
      <c r="J1199" s="18" t="s">
        <v>8003</v>
      </c>
      <c r="K1199" s="18" t="s">
        <v>8004</v>
      </c>
      <c r="L1199" s="19">
        <v>39174</v>
      </c>
    </row>
    <row r="1200" spans="1:12" ht="18" customHeight="1">
      <c r="A1200" s="16" t="s">
        <v>8005</v>
      </c>
      <c r="B1200" s="17" t="s">
        <v>8006</v>
      </c>
      <c r="C1200" s="18" t="s">
        <v>8007</v>
      </c>
      <c r="D1200" s="18" t="s">
        <v>8008</v>
      </c>
      <c r="E1200" s="18" t="s">
        <v>8009</v>
      </c>
      <c r="F1200" s="18" t="s">
        <v>2547</v>
      </c>
      <c r="G1200" s="18" t="s">
        <v>237</v>
      </c>
      <c r="H1200" s="18" t="s">
        <v>583</v>
      </c>
      <c r="I1200" s="18" t="s">
        <v>8010</v>
      </c>
      <c r="J1200" s="18" t="s">
        <v>8011</v>
      </c>
      <c r="K1200" s="18" t="s">
        <v>8012</v>
      </c>
      <c r="L1200" s="19">
        <v>43800</v>
      </c>
    </row>
    <row r="1201" spans="1:12" ht="18" customHeight="1">
      <c r="A1201" s="16" t="s">
        <v>8013</v>
      </c>
      <c r="B1201" s="17" t="s">
        <v>8014</v>
      </c>
      <c r="C1201" s="18" t="s">
        <v>8015</v>
      </c>
      <c r="D1201" s="18" t="s">
        <v>8016</v>
      </c>
      <c r="E1201" s="18" t="s">
        <v>8017</v>
      </c>
      <c r="F1201" s="18" t="s">
        <v>2547</v>
      </c>
      <c r="G1201" s="18" t="s">
        <v>237</v>
      </c>
      <c r="H1201" s="18" t="s">
        <v>144</v>
      </c>
      <c r="I1201" s="18" t="s">
        <v>8018</v>
      </c>
      <c r="J1201" s="18" t="s">
        <v>8019</v>
      </c>
      <c r="K1201" s="18" t="s">
        <v>8020</v>
      </c>
      <c r="L1201" s="19">
        <v>97700</v>
      </c>
    </row>
    <row r="1202" spans="1:12" ht="18" customHeight="1">
      <c r="A1202" s="16" t="s">
        <v>8021</v>
      </c>
      <c r="B1202" s="17" t="s">
        <v>8022</v>
      </c>
      <c r="C1202" s="18" t="s">
        <v>8023</v>
      </c>
      <c r="D1202" s="18" t="s">
        <v>8024</v>
      </c>
      <c r="E1202" s="18" t="s">
        <v>8025</v>
      </c>
      <c r="F1202" s="18" t="s">
        <v>2547</v>
      </c>
      <c r="G1202" s="18" t="s">
        <v>237</v>
      </c>
      <c r="H1202" s="18" t="s">
        <v>121</v>
      </c>
      <c r="I1202" s="18" t="s">
        <v>8026</v>
      </c>
      <c r="J1202" s="18" t="s">
        <v>8027</v>
      </c>
      <c r="K1202" s="18" t="s">
        <v>8028</v>
      </c>
      <c r="L1202" s="19">
        <v>35290</v>
      </c>
    </row>
    <row r="1203" spans="1:12" ht="18" customHeight="1">
      <c r="A1203" s="16" t="s">
        <v>8029</v>
      </c>
      <c r="B1203" s="17" t="s">
        <v>8030</v>
      </c>
      <c r="C1203" s="18" t="s">
        <v>8031</v>
      </c>
      <c r="D1203" s="18" t="s">
        <v>8032</v>
      </c>
      <c r="E1203" s="18" t="s">
        <v>8033</v>
      </c>
      <c r="F1203" s="18" t="s">
        <v>2547</v>
      </c>
      <c r="G1203" s="18" t="s">
        <v>237</v>
      </c>
      <c r="H1203" s="18" t="s">
        <v>228</v>
      </c>
      <c r="I1203" s="18" t="s">
        <v>8034</v>
      </c>
      <c r="J1203" s="18" t="s">
        <v>8035</v>
      </c>
      <c r="K1203" s="18" t="s">
        <v>8036</v>
      </c>
      <c r="L1203" s="19">
        <v>99700</v>
      </c>
    </row>
    <row r="1204" spans="1:12" ht="18" customHeight="1">
      <c r="A1204" s="16" t="s">
        <v>8037</v>
      </c>
      <c r="B1204" s="17">
        <v>4648</v>
      </c>
      <c r="C1204" s="18" t="s">
        <v>8038</v>
      </c>
      <c r="D1204" s="18" t="s">
        <v>8039</v>
      </c>
      <c r="E1204" s="18" t="s">
        <v>8040</v>
      </c>
      <c r="F1204" s="18" t="s">
        <v>2547</v>
      </c>
      <c r="G1204" s="18" t="s">
        <v>237</v>
      </c>
      <c r="H1204" s="18" t="s">
        <v>583</v>
      </c>
      <c r="I1204" s="18" t="s">
        <v>8041</v>
      </c>
      <c r="J1204" s="18" t="s">
        <v>8042</v>
      </c>
      <c r="K1204" s="18" t="s">
        <v>8043</v>
      </c>
      <c r="L1204" s="19">
        <v>43150</v>
      </c>
    </row>
    <row r="1205" spans="1:12" ht="18" customHeight="1">
      <c r="A1205" s="16" t="s">
        <v>8044</v>
      </c>
      <c r="B1205" s="17" t="s">
        <v>8045</v>
      </c>
      <c r="C1205" s="18" t="s">
        <v>8046</v>
      </c>
      <c r="D1205" s="18" t="s">
        <v>8047</v>
      </c>
      <c r="E1205" s="18" t="s">
        <v>8048</v>
      </c>
      <c r="F1205" s="18" t="s">
        <v>2547</v>
      </c>
      <c r="G1205" s="18" t="s">
        <v>237</v>
      </c>
      <c r="H1205" s="18" t="s">
        <v>616</v>
      </c>
      <c r="I1205" s="18" t="s">
        <v>8049</v>
      </c>
      <c r="J1205" s="18" t="s">
        <v>8050</v>
      </c>
      <c r="K1205" s="18" t="s">
        <v>8051</v>
      </c>
      <c r="L1205" s="19">
        <v>93650</v>
      </c>
    </row>
    <row r="1206" spans="1:12" ht="18" customHeight="1">
      <c r="A1206" s="16" t="s">
        <v>8052</v>
      </c>
      <c r="B1206" s="17" t="s">
        <v>8053</v>
      </c>
      <c r="C1206" s="18" t="s">
        <v>8054</v>
      </c>
      <c r="D1206" s="18" t="s">
        <v>8055</v>
      </c>
      <c r="E1206" s="18" t="s">
        <v>8056</v>
      </c>
      <c r="F1206" s="18" t="s">
        <v>2547</v>
      </c>
      <c r="G1206" s="18" t="s">
        <v>237</v>
      </c>
      <c r="H1206" s="18" t="s">
        <v>136</v>
      </c>
      <c r="I1206" s="18" t="s">
        <v>8057</v>
      </c>
      <c r="J1206" s="18" t="s">
        <v>8058</v>
      </c>
      <c r="K1206" s="18" t="s">
        <v>8059</v>
      </c>
      <c r="L1206" s="19">
        <v>40600</v>
      </c>
    </row>
    <row r="1207" spans="1:12" ht="18" customHeight="1">
      <c r="A1207" s="16" t="s">
        <v>8060</v>
      </c>
      <c r="B1207" s="17" t="s">
        <v>8061</v>
      </c>
      <c r="C1207" s="18" t="s">
        <v>8062</v>
      </c>
      <c r="D1207" s="18" t="s">
        <v>8063</v>
      </c>
      <c r="E1207" s="18" t="s">
        <v>8064</v>
      </c>
      <c r="F1207" s="18" t="s">
        <v>2547</v>
      </c>
      <c r="G1207" s="18" t="s">
        <v>237</v>
      </c>
      <c r="H1207" s="18" t="s">
        <v>351</v>
      </c>
      <c r="I1207" s="18" t="s">
        <v>8065</v>
      </c>
      <c r="J1207" s="18" t="s">
        <v>8066</v>
      </c>
      <c r="K1207" s="18" t="s">
        <v>8067</v>
      </c>
      <c r="L1207" s="19">
        <v>62980</v>
      </c>
    </row>
    <row r="1208" spans="1:12" ht="18" customHeight="1">
      <c r="A1208" s="16" t="s">
        <v>8068</v>
      </c>
      <c r="B1208" s="17" t="s">
        <v>8069</v>
      </c>
      <c r="C1208" s="18" t="s">
        <v>8070</v>
      </c>
      <c r="D1208" s="18" t="s">
        <v>8071</v>
      </c>
      <c r="E1208" s="18" t="s">
        <v>8072</v>
      </c>
      <c r="F1208" s="18" t="s">
        <v>2547</v>
      </c>
      <c r="G1208" s="18" t="s">
        <v>237</v>
      </c>
      <c r="H1208" s="18" t="s">
        <v>168</v>
      </c>
      <c r="I1208" s="18" t="s">
        <v>8073</v>
      </c>
      <c r="J1208" s="18" t="s">
        <v>8074</v>
      </c>
      <c r="K1208" s="18" t="s">
        <v>8075</v>
      </c>
      <c r="L1208" s="19">
        <v>73900</v>
      </c>
    </row>
    <row r="1209" spans="1:12" ht="18" customHeight="1">
      <c r="A1209" s="16" t="s">
        <v>8076</v>
      </c>
      <c r="B1209" s="17" t="s">
        <v>8077</v>
      </c>
      <c r="C1209" s="18" t="s">
        <v>8078</v>
      </c>
      <c r="D1209" s="18" t="s">
        <v>8079</v>
      </c>
      <c r="E1209" s="18" t="s">
        <v>8080</v>
      </c>
      <c r="F1209" s="18" t="s">
        <v>2547</v>
      </c>
      <c r="G1209" s="18" t="s">
        <v>237</v>
      </c>
      <c r="H1209" s="18" t="s">
        <v>583</v>
      </c>
      <c r="I1209" s="18" t="s">
        <v>8081</v>
      </c>
      <c r="J1209" s="18" t="s">
        <v>8082</v>
      </c>
      <c r="K1209" s="18" t="s">
        <v>8083</v>
      </c>
      <c r="L1209" s="19">
        <v>42954</v>
      </c>
    </row>
    <row r="1210" spans="1:12" ht="18" customHeight="1">
      <c r="A1210" s="16" t="s">
        <v>8084</v>
      </c>
      <c r="B1210" s="17" t="s">
        <v>8085</v>
      </c>
      <c r="C1210" s="18" t="s">
        <v>8086</v>
      </c>
      <c r="D1210" s="18" t="s">
        <v>8087</v>
      </c>
      <c r="E1210" s="18" t="s">
        <v>8088</v>
      </c>
      <c r="F1210" s="18" t="s">
        <v>2547</v>
      </c>
      <c r="G1210" s="18" t="s">
        <v>237</v>
      </c>
      <c r="H1210" s="18" t="s">
        <v>76</v>
      </c>
      <c r="I1210" s="18" t="s">
        <v>8089</v>
      </c>
      <c r="J1210" s="18" t="s">
        <v>8090</v>
      </c>
      <c r="K1210" s="18" t="s">
        <v>79</v>
      </c>
      <c r="L1210" s="19">
        <v>23562</v>
      </c>
    </row>
    <row r="1211" spans="1:12" ht="18" customHeight="1">
      <c r="A1211" s="16" t="s">
        <v>8091</v>
      </c>
      <c r="B1211" s="17" t="s">
        <v>8092</v>
      </c>
      <c r="C1211" s="18" t="s">
        <v>8093</v>
      </c>
      <c r="D1211" s="18" t="s">
        <v>8094</v>
      </c>
      <c r="E1211" s="18" t="s">
        <v>8095</v>
      </c>
      <c r="F1211" s="18" t="s">
        <v>2547</v>
      </c>
      <c r="G1211" s="18" t="s">
        <v>237</v>
      </c>
      <c r="H1211" s="18" t="s">
        <v>175</v>
      </c>
      <c r="I1211" s="18" t="s">
        <v>8096</v>
      </c>
      <c r="J1211" s="18" t="s">
        <v>8097</v>
      </c>
      <c r="K1211" s="18" t="s">
        <v>8098</v>
      </c>
      <c r="L1211" s="19">
        <v>76600</v>
      </c>
    </row>
    <row r="1212" spans="1:12" ht="18" customHeight="1">
      <c r="A1212" s="16" t="s">
        <v>8099</v>
      </c>
      <c r="B1212" s="17" t="s">
        <v>8100</v>
      </c>
      <c r="C1212" s="18" t="s">
        <v>8101</v>
      </c>
      <c r="D1212" s="18" t="s">
        <v>8102</v>
      </c>
      <c r="E1212" s="18" t="s">
        <v>8103</v>
      </c>
      <c r="F1212" s="18" t="s">
        <v>2547</v>
      </c>
      <c r="G1212" s="18" t="s">
        <v>237</v>
      </c>
      <c r="H1212" s="18" t="s">
        <v>632</v>
      </c>
      <c r="I1212" s="18" t="s">
        <v>8104</v>
      </c>
      <c r="J1212" s="18" t="s">
        <v>8105</v>
      </c>
      <c r="K1212" s="18" t="s">
        <v>8106</v>
      </c>
      <c r="L1212" s="19">
        <v>44810</v>
      </c>
    </row>
    <row r="1213" spans="1:12" ht="18" customHeight="1">
      <c r="A1213" s="16" t="s">
        <v>8107</v>
      </c>
      <c r="B1213" s="17" t="s">
        <v>8108</v>
      </c>
      <c r="C1213" s="18" t="s">
        <v>8109</v>
      </c>
      <c r="D1213" s="18" t="s">
        <v>8110</v>
      </c>
      <c r="E1213" s="18" t="s">
        <v>8111</v>
      </c>
      <c r="F1213" s="18" t="s">
        <v>2547</v>
      </c>
      <c r="G1213" s="18" t="s">
        <v>237</v>
      </c>
      <c r="H1213" s="18" t="s">
        <v>91</v>
      </c>
      <c r="I1213" s="18" t="s">
        <v>8112</v>
      </c>
      <c r="J1213" s="18" t="s">
        <v>8113</v>
      </c>
      <c r="K1213" s="18" t="s">
        <v>8114</v>
      </c>
      <c r="L1213" s="19">
        <v>30500</v>
      </c>
    </row>
    <row r="1214" spans="1:12" ht="18" customHeight="1">
      <c r="A1214" s="16" t="s">
        <v>8115</v>
      </c>
      <c r="B1214" s="17" t="s">
        <v>8116</v>
      </c>
      <c r="C1214" s="18" t="s">
        <v>8117</v>
      </c>
      <c r="D1214" s="18" t="s">
        <v>8118</v>
      </c>
      <c r="E1214" s="18" t="s">
        <v>8119</v>
      </c>
      <c r="F1214" s="18" t="s">
        <v>2547</v>
      </c>
      <c r="G1214" s="18" t="s">
        <v>237</v>
      </c>
      <c r="H1214" s="18" t="s">
        <v>583</v>
      </c>
      <c r="I1214" s="18" t="s">
        <v>8120</v>
      </c>
      <c r="J1214" s="18" t="s">
        <v>8121</v>
      </c>
      <c r="K1214" s="18" t="s">
        <v>8122</v>
      </c>
      <c r="L1214" s="19">
        <v>42800</v>
      </c>
    </row>
    <row r="1215" spans="1:12" ht="18" customHeight="1">
      <c r="A1215" s="16" t="s">
        <v>8123</v>
      </c>
      <c r="B1215" s="17" t="s">
        <v>8124</v>
      </c>
      <c r="C1215" s="18" t="s">
        <v>8125</v>
      </c>
      <c r="D1215" s="18" t="s">
        <v>8126</v>
      </c>
      <c r="E1215" s="18" t="s">
        <v>8127</v>
      </c>
      <c r="F1215" s="18" t="s">
        <v>2547</v>
      </c>
      <c r="G1215" s="18" t="s">
        <v>237</v>
      </c>
      <c r="H1215" s="18" t="s">
        <v>632</v>
      </c>
      <c r="I1215" s="18" t="s">
        <v>8128</v>
      </c>
      <c r="J1215" s="18" t="s">
        <v>8129</v>
      </c>
      <c r="K1215" s="18" t="s">
        <v>1848</v>
      </c>
      <c r="L1215" s="19">
        <v>49800</v>
      </c>
    </row>
    <row r="1216" spans="1:12" ht="18" customHeight="1">
      <c r="A1216" s="16" t="s">
        <v>8130</v>
      </c>
      <c r="B1216" s="17" t="s">
        <v>8131</v>
      </c>
      <c r="C1216" s="18" t="s">
        <v>8132</v>
      </c>
      <c r="D1216" s="18" t="s">
        <v>8133</v>
      </c>
      <c r="E1216" s="18" t="s">
        <v>8134</v>
      </c>
      <c r="F1216" s="18" t="s">
        <v>2547</v>
      </c>
      <c r="G1216" s="18" t="s">
        <v>237</v>
      </c>
      <c r="H1216" s="18" t="s">
        <v>152</v>
      </c>
      <c r="I1216" s="18" t="s">
        <v>8128</v>
      </c>
      <c r="J1216" s="18" t="s">
        <v>8135</v>
      </c>
      <c r="K1216" s="18" t="s">
        <v>1848</v>
      </c>
      <c r="L1216" s="19">
        <v>63200</v>
      </c>
    </row>
    <row r="1217" spans="1:12" ht="18" customHeight="1">
      <c r="A1217" s="16" t="s">
        <v>8136</v>
      </c>
      <c r="B1217" s="17" t="s">
        <v>8137</v>
      </c>
      <c r="C1217" s="18" t="s">
        <v>8138</v>
      </c>
      <c r="D1217" s="18" t="s">
        <v>8139</v>
      </c>
      <c r="E1217" s="18" t="s">
        <v>8140</v>
      </c>
      <c r="F1217" s="18" t="s">
        <v>2547</v>
      </c>
      <c r="G1217" s="18" t="s">
        <v>237</v>
      </c>
      <c r="H1217" s="18" t="s">
        <v>144</v>
      </c>
      <c r="I1217" s="18" t="s">
        <v>8141</v>
      </c>
      <c r="J1217" s="18" t="s">
        <v>8142</v>
      </c>
      <c r="K1217" s="18" t="s">
        <v>147</v>
      </c>
      <c r="L1217" s="19">
        <v>97130</v>
      </c>
    </row>
    <row r="1218" spans="1:12" ht="18" customHeight="1">
      <c r="A1218" s="16" t="s">
        <v>8143</v>
      </c>
      <c r="B1218" s="17" t="s">
        <v>2543</v>
      </c>
      <c r="C1218" s="18" t="s">
        <v>2544</v>
      </c>
      <c r="D1218" s="18" t="s">
        <v>2545</v>
      </c>
      <c r="E1218" s="18" t="s">
        <v>8144</v>
      </c>
      <c r="F1218" s="18" t="s">
        <v>2547</v>
      </c>
      <c r="G1218" s="18" t="s">
        <v>237</v>
      </c>
      <c r="H1218" s="18" t="s">
        <v>632</v>
      </c>
      <c r="I1218" s="18" t="s">
        <v>8145</v>
      </c>
      <c r="J1218" s="18" t="s">
        <v>2549</v>
      </c>
      <c r="K1218" s="18" t="s">
        <v>2550</v>
      </c>
      <c r="L1218" s="19">
        <v>48000</v>
      </c>
    </row>
    <row r="1219" spans="1:12" ht="18" customHeight="1">
      <c r="A1219" s="16" t="s">
        <v>8146</v>
      </c>
      <c r="B1219" s="17" t="s">
        <v>423</v>
      </c>
      <c r="C1219" s="18" t="s">
        <v>8147</v>
      </c>
      <c r="D1219" s="18" t="s">
        <v>8148</v>
      </c>
      <c r="E1219" s="18" t="s">
        <v>8149</v>
      </c>
      <c r="F1219" s="18" t="s">
        <v>2547</v>
      </c>
      <c r="G1219" s="18" t="s">
        <v>237</v>
      </c>
      <c r="H1219" s="18" t="s">
        <v>1153</v>
      </c>
      <c r="I1219" s="18" t="s">
        <v>8150</v>
      </c>
      <c r="J1219" s="18" t="s">
        <v>8151</v>
      </c>
      <c r="K1219" s="18" t="s">
        <v>8152</v>
      </c>
      <c r="L1219" s="19">
        <v>70150</v>
      </c>
    </row>
    <row r="1220" spans="1:12" ht="18" customHeight="1">
      <c r="A1220" s="16" t="s">
        <v>8153</v>
      </c>
      <c r="B1220" s="17" t="s">
        <v>8154</v>
      </c>
      <c r="C1220" s="18" t="s">
        <v>8155</v>
      </c>
      <c r="D1220" s="18" t="s">
        <v>8156</v>
      </c>
      <c r="E1220" s="18" t="s">
        <v>8157</v>
      </c>
      <c r="F1220" s="18" t="s">
        <v>2547</v>
      </c>
      <c r="G1220" s="18" t="s">
        <v>237</v>
      </c>
      <c r="H1220" s="18" t="s">
        <v>197</v>
      </c>
      <c r="I1220" s="18" t="s">
        <v>8158</v>
      </c>
      <c r="J1220" s="18" t="s">
        <v>8159</v>
      </c>
      <c r="K1220" s="18" t="s">
        <v>8160</v>
      </c>
      <c r="L1220" s="19">
        <v>84901</v>
      </c>
    </row>
    <row r="1221" spans="1:12" ht="18" customHeight="1">
      <c r="A1221" s="16" t="s">
        <v>8161</v>
      </c>
      <c r="B1221" s="17" t="s">
        <v>8162</v>
      </c>
      <c r="C1221" s="18" t="s">
        <v>8163</v>
      </c>
      <c r="D1221" s="18" t="s">
        <v>8164</v>
      </c>
      <c r="E1221" s="18" t="s">
        <v>8165</v>
      </c>
      <c r="F1221" s="18" t="s">
        <v>2547</v>
      </c>
      <c r="G1221" s="18" t="s">
        <v>237</v>
      </c>
      <c r="H1221" s="18" t="s">
        <v>128</v>
      </c>
      <c r="I1221" s="18" t="s">
        <v>8166</v>
      </c>
      <c r="J1221" s="18" t="s">
        <v>8167</v>
      </c>
      <c r="K1221" s="18" t="s">
        <v>8168</v>
      </c>
      <c r="L1221" s="19">
        <v>38980</v>
      </c>
    </row>
    <row r="1222" spans="1:12" ht="18" customHeight="1">
      <c r="A1222" s="16" t="s">
        <v>8169</v>
      </c>
      <c r="B1222" s="17" t="s">
        <v>8170</v>
      </c>
      <c r="C1222" s="18" t="s">
        <v>8171</v>
      </c>
      <c r="D1222" s="18" t="s">
        <v>8172</v>
      </c>
      <c r="E1222" s="18" t="s">
        <v>8173</v>
      </c>
      <c r="F1222" s="18" t="s">
        <v>2547</v>
      </c>
      <c r="G1222" s="18" t="s">
        <v>237</v>
      </c>
      <c r="H1222" s="18" t="s">
        <v>144</v>
      </c>
      <c r="I1222" s="18" t="s">
        <v>8174</v>
      </c>
      <c r="J1222" s="18" t="s">
        <v>8175</v>
      </c>
      <c r="K1222" s="18" t="s">
        <v>8176</v>
      </c>
      <c r="L1222" s="19">
        <v>97780</v>
      </c>
    </row>
    <row r="1223" spans="1:12" ht="18" customHeight="1">
      <c r="A1223" s="16" t="s">
        <v>8177</v>
      </c>
      <c r="B1223" s="17" t="s">
        <v>8178</v>
      </c>
      <c r="C1223" s="18" t="s">
        <v>8179</v>
      </c>
      <c r="D1223" s="18" t="s">
        <v>8180</v>
      </c>
      <c r="E1223" s="18" t="s">
        <v>8181</v>
      </c>
      <c r="F1223" s="18" t="s">
        <v>2547</v>
      </c>
      <c r="G1223" s="18" t="s">
        <v>237</v>
      </c>
      <c r="H1223" s="18" t="s">
        <v>128</v>
      </c>
      <c r="I1223" s="18" t="s">
        <v>8182</v>
      </c>
      <c r="J1223" s="18" t="s">
        <v>8183</v>
      </c>
      <c r="K1223" s="18" t="s">
        <v>8184</v>
      </c>
      <c r="L1223" s="19">
        <v>38400</v>
      </c>
    </row>
    <row r="1224" spans="1:12" ht="18" customHeight="1">
      <c r="A1224" s="16" t="s">
        <v>8185</v>
      </c>
      <c r="B1224" s="17" t="s">
        <v>8186</v>
      </c>
      <c r="C1224" s="18" t="s">
        <v>8187</v>
      </c>
      <c r="D1224" s="18" t="s">
        <v>8188</v>
      </c>
      <c r="E1224" s="18" t="s">
        <v>8189</v>
      </c>
      <c r="F1224" s="18" t="s">
        <v>2547</v>
      </c>
      <c r="G1224" s="18" t="s">
        <v>237</v>
      </c>
      <c r="H1224" s="18" t="s">
        <v>213</v>
      </c>
      <c r="I1224" s="18" t="s">
        <v>8190</v>
      </c>
      <c r="J1224" s="18" t="s">
        <v>8191</v>
      </c>
      <c r="K1224" s="18" t="s">
        <v>8192</v>
      </c>
      <c r="L1224" s="19">
        <v>87500</v>
      </c>
    </row>
    <row r="1225" spans="1:12" ht="18" customHeight="1">
      <c r="A1225" s="16" t="s">
        <v>8193</v>
      </c>
      <c r="B1225" s="17" t="s">
        <v>8194</v>
      </c>
      <c r="C1225" s="18" t="s">
        <v>8195</v>
      </c>
      <c r="D1225" s="18" t="s">
        <v>8196</v>
      </c>
      <c r="E1225" s="18" t="s">
        <v>8197</v>
      </c>
      <c r="F1225" s="18" t="s">
        <v>2547</v>
      </c>
      <c r="G1225" s="18" t="s">
        <v>237</v>
      </c>
      <c r="H1225" s="18" t="s">
        <v>228</v>
      </c>
      <c r="I1225" s="18" t="s">
        <v>8198</v>
      </c>
      <c r="J1225" s="18" t="s">
        <v>8199</v>
      </c>
      <c r="K1225" s="18" t="s">
        <v>8200</v>
      </c>
      <c r="L1225" s="19">
        <v>99200</v>
      </c>
    </row>
    <row r="1226" spans="1:12" ht="18" customHeight="1">
      <c r="A1226" s="16" t="s">
        <v>8201</v>
      </c>
      <c r="B1226" s="17" t="s">
        <v>8202</v>
      </c>
      <c r="C1226" s="18" t="s">
        <v>8203</v>
      </c>
      <c r="D1226" s="18" t="s">
        <v>8204</v>
      </c>
      <c r="E1226" s="18" t="s">
        <v>8205</v>
      </c>
      <c r="F1226" s="18" t="s">
        <v>2547</v>
      </c>
      <c r="G1226" s="18" t="s">
        <v>237</v>
      </c>
      <c r="H1226" s="18" t="s">
        <v>121</v>
      </c>
      <c r="I1226" s="18" t="s">
        <v>8206</v>
      </c>
      <c r="J1226" s="18" t="s">
        <v>8207</v>
      </c>
      <c r="K1226" s="18" t="s">
        <v>6767</v>
      </c>
      <c r="L1226" s="19">
        <v>34890</v>
      </c>
    </row>
    <row r="1227" spans="1:12" ht="18" customHeight="1">
      <c r="A1227" s="16" t="s">
        <v>8208</v>
      </c>
      <c r="B1227" s="17" t="s">
        <v>8209</v>
      </c>
      <c r="C1227" s="18" t="s">
        <v>8210</v>
      </c>
      <c r="D1227" s="18" t="s">
        <v>8211</v>
      </c>
      <c r="E1227" s="18" t="s">
        <v>8212</v>
      </c>
      <c r="F1227" s="18" t="s">
        <v>2547</v>
      </c>
      <c r="G1227" s="18" t="s">
        <v>237</v>
      </c>
      <c r="H1227" s="18" t="s">
        <v>228</v>
      </c>
      <c r="I1227" s="18" t="s">
        <v>8213</v>
      </c>
      <c r="J1227" s="18" t="s">
        <v>8214</v>
      </c>
      <c r="K1227" s="18" t="s">
        <v>8215</v>
      </c>
      <c r="L1227" s="19">
        <v>98500</v>
      </c>
    </row>
    <row r="1228" spans="1:12" ht="18" customHeight="1">
      <c r="A1228" s="16" t="s">
        <v>8216</v>
      </c>
      <c r="B1228" s="17" t="s">
        <v>8217</v>
      </c>
      <c r="C1228" s="18" t="s">
        <v>8218</v>
      </c>
      <c r="D1228" s="18" t="s">
        <v>8219</v>
      </c>
      <c r="E1228" s="18" t="s">
        <v>8220</v>
      </c>
      <c r="F1228" s="18" t="s">
        <v>2547</v>
      </c>
      <c r="G1228" s="18" t="s">
        <v>237</v>
      </c>
      <c r="H1228" s="18" t="s">
        <v>616</v>
      </c>
      <c r="I1228" s="18" t="s">
        <v>8221</v>
      </c>
      <c r="J1228" s="18" t="s">
        <v>8222</v>
      </c>
      <c r="K1228" s="18" t="s">
        <v>8223</v>
      </c>
      <c r="L1228" s="19">
        <v>95580</v>
      </c>
    </row>
    <row r="1229" spans="1:12" ht="18" customHeight="1">
      <c r="A1229" s="16" t="s">
        <v>8224</v>
      </c>
      <c r="B1229" s="17" t="s">
        <v>8225</v>
      </c>
      <c r="C1229" s="18" t="s">
        <v>8226</v>
      </c>
      <c r="D1229" s="18" t="s">
        <v>8227</v>
      </c>
      <c r="E1229" s="18" t="s">
        <v>8228</v>
      </c>
      <c r="F1229" s="18" t="s">
        <v>2547</v>
      </c>
      <c r="G1229" s="18" t="s">
        <v>237</v>
      </c>
      <c r="H1229" s="18" t="s">
        <v>205</v>
      </c>
      <c r="I1229" s="18" t="s">
        <v>8229</v>
      </c>
      <c r="J1229" s="18" t="s">
        <v>8230</v>
      </c>
      <c r="K1229" s="18" t="s">
        <v>5979</v>
      </c>
      <c r="L1229" s="19">
        <v>86480</v>
      </c>
    </row>
    <row r="1230" spans="1:12" ht="18" customHeight="1">
      <c r="A1230" s="16" t="s">
        <v>8231</v>
      </c>
      <c r="B1230" s="17" t="s">
        <v>8232</v>
      </c>
      <c r="C1230" s="18" t="s">
        <v>8233</v>
      </c>
      <c r="D1230" s="18" t="s">
        <v>8234</v>
      </c>
      <c r="E1230" s="18" t="s">
        <v>8235</v>
      </c>
      <c r="F1230" s="18" t="s">
        <v>2547</v>
      </c>
      <c r="G1230" s="18" t="s">
        <v>237</v>
      </c>
      <c r="H1230" s="18" t="s">
        <v>160</v>
      </c>
      <c r="I1230" s="18" t="s">
        <v>8236</v>
      </c>
      <c r="J1230" s="18" t="s">
        <v>8237</v>
      </c>
      <c r="K1230" s="18" t="s">
        <v>8238</v>
      </c>
      <c r="L1230" s="19">
        <v>67300</v>
      </c>
    </row>
    <row r="1231" spans="1:12" ht="18" customHeight="1">
      <c r="A1231" s="16" t="s">
        <v>8239</v>
      </c>
      <c r="B1231" s="17" t="s">
        <v>8240</v>
      </c>
      <c r="C1231" s="18" t="s">
        <v>8241</v>
      </c>
      <c r="D1231" s="18" t="s">
        <v>8242</v>
      </c>
      <c r="E1231" s="18" t="s">
        <v>8243</v>
      </c>
      <c r="F1231" s="18" t="s">
        <v>2547</v>
      </c>
      <c r="G1231" s="18" t="s">
        <v>237</v>
      </c>
      <c r="H1231" s="18" t="s">
        <v>91</v>
      </c>
      <c r="I1231" s="18" t="s">
        <v>8244</v>
      </c>
      <c r="J1231" s="18" t="s">
        <v>8245</v>
      </c>
      <c r="K1231" s="18" t="s">
        <v>8246</v>
      </c>
      <c r="L1231" s="19">
        <v>30476</v>
      </c>
    </row>
    <row r="1232" spans="1:12" ht="18" customHeight="1">
      <c r="A1232" s="16" t="s">
        <v>8247</v>
      </c>
      <c r="B1232" s="17" t="s">
        <v>8248</v>
      </c>
      <c r="C1232" s="18" t="s">
        <v>8249</v>
      </c>
      <c r="D1232" s="18" t="s">
        <v>8250</v>
      </c>
      <c r="E1232" s="18" t="s">
        <v>8251</v>
      </c>
      <c r="F1232" s="18" t="s">
        <v>2547</v>
      </c>
      <c r="G1232" s="18" t="s">
        <v>237</v>
      </c>
      <c r="H1232" s="18" t="s">
        <v>213</v>
      </c>
      <c r="I1232" s="18" t="s">
        <v>8252</v>
      </c>
      <c r="J1232" s="18" t="s">
        <v>8253</v>
      </c>
      <c r="K1232" s="18" t="s">
        <v>8254</v>
      </c>
      <c r="L1232" s="19">
        <v>89700</v>
      </c>
    </row>
    <row r="1233" spans="1:12" ht="18" customHeight="1">
      <c r="A1233" s="16" t="s">
        <v>8255</v>
      </c>
      <c r="B1233" s="17" t="s">
        <v>8256</v>
      </c>
      <c r="C1233" s="18" t="s">
        <v>8257</v>
      </c>
      <c r="D1233" s="18" t="s">
        <v>8258</v>
      </c>
      <c r="E1233" s="18" t="s">
        <v>8259</v>
      </c>
      <c r="F1233" s="18" t="s">
        <v>2547</v>
      </c>
      <c r="G1233" s="18" t="s">
        <v>237</v>
      </c>
      <c r="H1233" s="18" t="s">
        <v>152</v>
      </c>
      <c r="I1233" s="18" t="s">
        <v>8260</v>
      </c>
      <c r="J1233" s="18" t="s">
        <v>8261</v>
      </c>
      <c r="K1233" s="18" t="s">
        <v>7600</v>
      </c>
      <c r="L1233" s="19">
        <v>63540</v>
      </c>
    </row>
    <row r="1234" spans="1:12" ht="18" customHeight="1">
      <c r="A1234" s="16" t="s">
        <v>8262</v>
      </c>
      <c r="B1234" s="17" t="s">
        <v>8263</v>
      </c>
      <c r="C1234" s="18" t="s">
        <v>8264</v>
      </c>
      <c r="D1234" s="18" t="s">
        <v>8265</v>
      </c>
      <c r="E1234" s="18" t="s">
        <v>8266</v>
      </c>
      <c r="F1234" s="18" t="s">
        <v>2547</v>
      </c>
      <c r="G1234" s="18" t="s">
        <v>237</v>
      </c>
      <c r="H1234" s="18" t="s">
        <v>190</v>
      </c>
      <c r="I1234" s="18" t="s">
        <v>8260</v>
      </c>
      <c r="J1234" s="18" t="s">
        <v>8267</v>
      </c>
      <c r="K1234" s="18" t="s">
        <v>8268</v>
      </c>
      <c r="L1234" s="19">
        <v>78600</v>
      </c>
    </row>
    <row r="1235" spans="1:12" ht="18" customHeight="1">
      <c r="A1235" s="16" t="s">
        <v>8269</v>
      </c>
      <c r="B1235" s="17" t="s">
        <v>8270</v>
      </c>
      <c r="C1235" s="18" t="s">
        <v>8271</v>
      </c>
      <c r="D1235" s="18" t="s">
        <v>8272</v>
      </c>
      <c r="E1235" s="18" t="s">
        <v>8273</v>
      </c>
      <c r="F1235" s="18" t="s">
        <v>2547</v>
      </c>
      <c r="G1235" s="18" t="s">
        <v>237</v>
      </c>
      <c r="H1235" s="18" t="s">
        <v>76</v>
      </c>
      <c r="I1235" s="18" t="s">
        <v>8274</v>
      </c>
      <c r="J1235" s="18" t="s">
        <v>8275</v>
      </c>
      <c r="K1235" s="18" t="s">
        <v>8276</v>
      </c>
      <c r="L1235" s="19">
        <v>23700</v>
      </c>
    </row>
    <row r="1236" spans="1:12" ht="18" customHeight="1">
      <c r="A1236" s="16" t="s">
        <v>8277</v>
      </c>
      <c r="B1236" s="17" t="s">
        <v>8278</v>
      </c>
      <c r="C1236" s="18" t="s">
        <v>8279</v>
      </c>
      <c r="D1236" s="18" t="s">
        <v>8280</v>
      </c>
      <c r="E1236" s="18" t="s">
        <v>8281</v>
      </c>
      <c r="F1236" s="18" t="s">
        <v>2547</v>
      </c>
      <c r="G1236" s="18" t="s">
        <v>237</v>
      </c>
      <c r="H1236" s="18" t="s">
        <v>61</v>
      </c>
      <c r="I1236" s="18" t="s">
        <v>8282</v>
      </c>
      <c r="J1236" s="18" t="s">
        <v>8283</v>
      </c>
      <c r="K1236" s="18" t="s">
        <v>8284</v>
      </c>
      <c r="L1236" s="19">
        <v>20700</v>
      </c>
    </row>
    <row r="1237" spans="1:12" ht="18" customHeight="1">
      <c r="A1237" s="16" t="s">
        <v>8285</v>
      </c>
      <c r="B1237" s="17" t="s">
        <v>8286</v>
      </c>
      <c r="C1237" s="18" t="s">
        <v>8287</v>
      </c>
      <c r="D1237" s="18" t="s">
        <v>8288</v>
      </c>
      <c r="E1237" s="18" t="s">
        <v>8289</v>
      </c>
      <c r="F1237" s="18" t="s">
        <v>2547</v>
      </c>
      <c r="G1237" s="18" t="s">
        <v>237</v>
      </c>
      <c r="H1237" s="18" t="s">
        <v>99</v>
      </c>
      <c r="I1237" s="18" t="s">
        <v>8290</v>
      </c>
      <c r="J1237" s="18" t="s">
        <v>8291</v>
      </c>
      <c r="K1237" s="18" t="s">
        <v>8292</v>
      </c>
      <c r="L1237" s="19">
        <v>33960</v>
      </c>
    </row>
    <row r="1238" spans="1:12" ht="18" customHeight="1">
      <c r="A1238" s="16" t="s">
        <v>8293</v>
      </c>
      <c r="B1238" s="17" t="s">
        <v>8294</v>
      </c>
      <c r="C1238" s="18" t="s">
        <v>8295</v>
      </c>
      <c r="D1238" s="18" t="s">
        <v>8296</v>
      </c>
      <c r="E1238" s="18" t="s">
        <v>8297</v>
      </c>
      <c r="F1238" s="18" t="s">
        <v>2547</v>
      </c>
      <c r="G1238" s="18" t="s">
        <v>237</v>
      </c>
      <c r="H1238" s="18" t="s">
        <v>121</v>
      </c>
      <c r="I1238" s="18" t="s">
        <v>8298</v>
      </c>
      <c r="J1238" s="18" t="s">
        <v>8299</v>
      </c>
      <c r="K1238" s="18" t="s">
        <v>8300</v>
      </c>
      <c r="L1238" s="19">
        <v>34800</v>
      </c>
    </row>
    <row r="1239" spans="1:12" ht="18" customHeight="1">
      <c r="A1239" s="16" t="s">
        <v>8301</v>
      </c>
      <c r="B1239" s="17" t="s">
        <v>8302</v>
      </c>
      <c r="C1239" s="18" t="s">
        <v>8303</v>
      </c>
      <c r="D1239" s="18" t="s">
        <v>8304</v>
      </c>
      <c r="E1239" s="18" t="s">
        <v>8305</v>
      </c>
      <c r="F1239" s="18" t="s">
        <v>2547</v>
      </c>
      <c r="G1239" s="18" t="s">
        <v>237</v>
      </c>
      <c r="H1239" s="18" t="s">
        <v>128</v>
      </c>
      <c r="I1239" s="18" t="s">
        <v>8306</v>
      </c>
      <c r="J1239" s="18" t="s">
        <v>8307</v>
      </c>
      <c r="K1239" s="18" t="s">
        <v>8308</v>
      </c>
      <c r="L1239" s="19">
        <v>37920</v>
      </c>
    </row>
    <row r="1240" spans="1:12" ht="18" customHeight="1">
      <c r="A1240" s="16" t="s">
        <v>8309</v>
      </c>
      <c r="B1240" s="17" t="s">
        <v>8310</v>
      </c>
      <c r="C1240" s="18" t="s">
        <v>8311</v>
      </c>
      <c r="D1240" s="18" t="s">
        <v>8312</v>
      </c>
      <c r="E1240" s="18" t="s">
        <v>8313</v>
      </c>
      <c r="F1240" s="18" t="s">
        <v>2547</v>
      </c>
      <c r="G1240" s="18" t="s">
        <v>237</v>
      </c>
      <c r="H1240" s="18" t="s">
        <v>213</v>
      </c>
      <c r="I1240" s="18" t="s">
        <v>8314</v>
      </c>
      <c r="J1240" s="18" t="s">
        <v>8315</v>
      </c>
      <c r="K1240" s="18" t="s">
        <v>8316</v>
      </c>
      <c r="L1240" s="19">
        <v>89750</v>
      </c>
    </row>
    <row r="1241" spans="1:12" ht="18" customHeight="1">
      <c r="A1241" s="16" t="s">
        <v>8317</v>
      </c>
      <c r="B1241" s="17" t="s">
        <v>8318</v>
      </c>
      <c r="C1241" s="18" t="s">
        <v>8319</v>
      </c>
      <c r="D1241" s="18" t="s">
        <v>8320</v>
      </c>
      <c r="E1241" s="18" t="s">
        <v>8321</v>
      </c>
      <c r="F1241" s="18" t="s">
        <v>2547</v>
      </c>
      <c r="G1241" s="18" t="s">
        <v>237</v>
      </c>
      <c r="H1241" s="18" t="s">
        <v>128</v>
      </c>
      <c r="I1241" s="18" t="s">
        <v>8322</v>
      </c>
      <c r="J1241" s="18" t="s">
        <v>8323</v>
      </c>
      <c r="K1241" s="18" t="s">
        <v>8324</v>
      </c>
      <c r="L1241" s="19">
        <v>38260</v>
      </c>
    </row>
    <row r="1242" spans="1:12" ht="18" customHeight="1">
      <c r="A1242" s="16" t="s">
        <v>8325</v>
      </c>
      <c r="B1242" s="17" t="s">
        <v>8326</v>
      </c>
      <c r="C1242" s="18" t="s">
        <v>8327</v>
      </c>
      <c r="D1242" s="18" t="s">
        <v>8328</v>
      </c>
      <c r="E1242" s="18" t="s">
        <v>8329</v>
      </c>
      <c r="F1242" s="18" t="s">
        <v>2547</v>
      </c>
      <c r="G1242" s="18" t="s">
        <v>237</v>
      </c>
      <c r="H1242" s="18" t="s">
        <v>168</v>
      </c>
      <c r="I1242" s="18" t="s">
        <v>8330</v>
      </c>
      <c r="J1242" s="18" t="s">
        <v>8331</v>
      </c>
      <c r="K1242" s="18" t="s">
        <v>8332</v>
      </c>
      <c r="L1242" s="19">
        <v>73080</v>
      </c>
    </row>
    <row r="1243" spans="1:12" ht="18" customHeight="1">
      <c r="A1243" s="16" t="s">
        <v>8333</v>
      </c>
      <c r="B1243" s="17" t="s">
        <v>8334</v>
      </c>
      <c r="C1243" s="18" t="s">
        <v>8335</v>
      </c>
      <c r="D1243" s="18" t="s">
        <v>8336</v>
      </c>
      <c r="E1243" s="18" t="s">
        <v>8337</v>
      </c>
      <c r="F1243" s="18" t="s">
        <v>2547</v>
      </c>
      <c r="G1243" s="18" t="s">
        <v>237</v>
      </c>
      <c r="H1243" s="18" t="s">
        <v>190</v>
      </c>
      <c r="I1243" s="18" t="s">
        <v>8338</v>
      </c>
      <c r="J1243" s="18" t="s">
        <v>8339</v>
      </c>
      <c r="K1243" s="18" t="s">
        <v>8340</v>
      </c>
      <c r="L1243" s="19">
        <v>79900</v>
      </c>
    </row>
    <row r="1244" spans="1:12" ht="18" customHeight="1">
      <c r="A1244" s="16" t="s">
        <v>8341</v>
      </c>
      <c r="B1244" s="17" t="s">
        <v>8342</v>
      </c>
      <c r="C1244" s="18" t="s">
        <v>8343</v>
      </c>
      <c r="D1244" s="18" t="s">
        <v>8344</v>
      </c>
      <c r="E1244" s="18" t="s">
        <v>8345</v>
      </c>
      <c r="F1244" s="18" t="s">
        <v>2547</v>
      </c>
      <c r="G1244" s="18" t="s">
        <v>237</v>
      </c>
      <c r="H1244" s="18" t="s">
        <v>632</v>
      </c>
      <c r="I1244" s="18" t="s">
        <v>8346</v>
      </c>
      <c r="J1244" s="18" t="s">
        <v>8347</v>
      </c>
      <c r="K1244" s="18" t="s">
        <v>8348</v>
      </c>
      <c r="L1244" s="19">
        <v>41300</v>
      </c>
    </row>
    <row r="1245" spans="1:12" ht="18" customHeight="1">
      <c r="A1245" s="16" t="s">
        <v>8349</v>
      </c>
      <c r="B1245" s="17" t="s">
        <v>8350</v>
      </c>
      <c r="C1245" s="18" t="s">
        <v>8351</v>
      </c>
      <c r="D1245" s="18" t="s">
        <v>8352</v>
      </c>
      <c r="E1245" s="18" t="s">
        <v>8353</v>
      </c>
      <c r="F1245" s="18" t="s">
        <v>2547</v>
      </c>
      <c r="G1245" s="18" t="s">
        <v>237</v>
      </c>
      <c r="H1245" s="18" t="s">
        <v>91</v>
      </c>
      <c r="I1245" s="18" t="s">
        <v>8354</v>
      </c>
      <c r="J1245" s="18" t="s">
        <v>8355</v>
      </c>
      <c r="K1245" s="18" t="s">
        <v>8356</v>
      </c>
      <c r="L1245" s="19">
        <v>29930</v>
      </c>
    </row>
    <row r="1246" spans="1:12" ht="18" customHeight="1">
      <c r="A1246" s="16" t="s">
        <v>8357</v>
      </c>
      <c r="B1246" s="17" t="s">
        <v>8358</v>
      </c>
      <c r="C1246" s="18" t="s">
        <v>8359</v>
      </c>
      <c r="D1246" s="18" t="s">
        <v>8360</v>
      </c>
      <c r="E1246" s="18" t="s">
        <v>8361</v>
      </c>
      <c r="F1246" s="18" t="s">
        <v>2547</v>
      </c>
      <c r="G1246" s="18" t="s">
        <v>237</v>
      </c>
      <c r="H1246" s="18" t="s">
        <v>351</v>
      </c>
      <c r="I1246" s="18" t="s">
        <v>8362</v>
      </c>
      <c r="J1246" s="18" t="s">
        <v>8363</v>
      </c>
      <c r="K1246" s="18" t="s">
        <v>8364</v>
      </c>
      <c r="L1246" s="19">
        <v>62730</v>
      </c>
    </row>
    <row r="1247" spans="1:12" ht="18" customHeight="1">
      <c r="A1247" s="16" t="s">
        <v>8365</v>
      </c>
      <c r="B1247" s="17" t="s">
        <v>8366</v>
      </c>
      <c r="C1247" s="18" t="s">
        <v>8367</v>
      </c>
      <c r="D1247" s="18" t="s">
        <v>8368</v>
      </c>
      <c r="E1247" s="18" t="s">
        <v>8369</v>
      </c>
      <c r="F1247" s="18" t="s">
        <v>2547</v>
      </c>
      <c r="G1247" s="18" t="s">
        <v>237</v>
      </c>
      <c r="H1247" s="18" t="s">
        <v>351</v>
      </c>
      <c r="I1247" s="18" t="s">
        <v>8370</v>
      </c>
      <c r="J1247" s="18" t="s">
        <v>8371</v>
      </c>
      <c r="K1247" s="18" t="s">
        <v>8372</v>
      </c>
      <c r="L1247" s="19">
        <v>62824</v>
      </c>
    </row>
    <row r="1248" spans="1:12" ht="18" customHeight="1">
      <c r="A1248" s="16" t="s">
        <v>8373</v>
      </c>
      <c r="B1248" s="17" t="s">
        <v>8374</v>
      </c>
      <c r="C1248" s="18" t="s">
        <v>8375</v>
      </c>
      <c r="D1248" s="18" t="s">
        <v>8376</v>
      </c>
      <c r="E1248" s="18" t="s">
        <v>8377</v>
      </c>
      <c r="F1248" s="18" t="s">
        <v>2547</v>
      </c>
      <c r="G1248" s="18" t="s">
        <v>237</v>
      </c>
      <c r="H1248" s="18" t="s">
        <v>128</v>
      </c>
      <c r="I1248" s="18" t="s">
        <v>8378</v>
      </c>
      <c r="J1248" s="18" t="s">
        <v>8379</v>
      </c>
      <c r="K1248" s="18" t="s">
        <v>8380</v>
      </c>
      <c r="L1248" s="19">
        <v>38940</v>
      </c>
    </row>
    <row r="1249" spans="1:12" ht="18" customHeight="1">
      <c r="A1249" s="16" t="s">
        <v>8381</v>
      </c>
      <c r="B1249" s="17" t="s">
        <v>8382</v>
      </c>
      <c r="C1249" s="18" t="s">
        <v>8383</v>
      </c>
      <c r="D1249" s="18" t="s">
        <v>8384</v>
      </c>
      <c r="E1249" s="18" t="s">
        <v>8385</v>
      </c>
      <c r="F1249" s="18" t="s">
        <v>2547</v>
      </c>
      <c r="G1249" s="18" t="s">
        <v>237</v>
      </c>
      <c r="H1249" s="18" t="s">
        <v>221</v>
      </c>
      <c r="I1249" s="18" t="s">
        <v>8386</v>
      </c>
      <c r="J1249" s="18" t="s">
        <v>8387</v>
      </c>
      <c r="K1249" s="18" t="s">
        <v>8388</v>
      </c>
      <c r="L1249" s="19">
        <v>90740</v>
      </c>
    </row>
    <row r="1250" spans="1:12" ht="18" customHeight="1">
      <c r="A1250" s="16" t="s">
        <v>8389</v>
      </c>
      <c r="B1250" s="17" t="s">
        <v>8390</v>
      </c>
      <c r="C1250" s="18" t="s">
        <v>8391</v>
      </c>
      <c r="D1250" s="18" t="s">
        <v>8392</v>
      </c>
      <c r="E1250" s="18" t="s">
        <v>8393</v>
      </c>
      <c r="F1250" s="18" t="s">
        <v>2547</v>
      </c>
      <c r="G1250" s="18" t="s">
        <v>237</v>
      </c>
      <c r="H1250" s="18" t="s">
        <v>351</v>
      </c>
      <c r="I1250" s="18" t="s">
        <v>8394</v>
      </c>
      <c r="J1250" s="18" t="s">
        <v>8395</v>
      </c>
      <c r="K1250" s="18" t="s">
        <v>8396</v>
      </c>
      <c r="L1250" s="19">
        <v>62780</v>
      </c>
    </row>
    <row r="1251" spans="1:12" ht="18" customHeight="1">
      <c r="A1251" s="16" t="s">
        <v>8397</v>
      </c>
      <c r="B1251" s="17" t="s">
        <v>8398</v>
      </c>
      <c r="C1251" s="18" t="s">
        <v>8399</v>
      </c>
      <c r="D1251" s="18" t="s">
        <v>8400</v>
      </c>
      <c r="E1251" s="18" t="s">
        <v>8401</v>
      </c>
      <c r="F1251" s="18" t="s">
        <v>2547</v>
      </c>
      <c r="G1251" s="18" t="s">
        <v>237</v>
      </c>
      <c r="H1251" s="18" t="s">
        <v>168</v>
      </c>
      <c r="I1251" s="18" t="s">
        <v>8402</v>
      </c>
      <c r="J1251" s="18" t="s">
        <v>8403</v>
      </c>
      <c r="K1251" s="18" t="s">
        <v>8404</v>
      </c>
      <c r="L1251" s="19">
        <v>73310</v>
      </c>
    </row>
    <row r="1252" spans="1:12" ht="18" customHeight="1">
      <c r="A1252" s="16" t="s">
        <v>8405</v>
      </c>
      <c r="B1252" s="17" t="s">
        <v>8406</v>
      </c>
      <c r="C1252" s="18" t="s">
        <v>8407</v>
      </c>
      <c r="D1252" s="18" t="s">
        <v>8408</v>
      </c>
      <c r="E1252" s="18" t="s">
        <v>8409</v>
      </c>
      <c r="F1252" s="18" t="s">
        <v>2547</v>
      </c>
      <c r="G1252" s="18" t="s">
        <v>237</v>
      </c>
      <c r="H1252" s="18" t="s">
        <v>583</v>
      </c>
      <c r="I1252" s="18" t="s">
        <v>8410</v>
      </c>
      <c r="J1252" s="18" t="s">
        <v>8411</v>
      </c>
      <c r="K1252" s="18" t="s">
        <v>8412</v>
      </c>
      <c r="L1252" s="19">
        <v>43202</v>
      </c>
    </row>
    <row r="1253" spans="1:12" ht="18" customHeight="1">
      <c r="A1253" s="16" t="s">
        <v>8413</v>
      </c>
      <c r="B1253" s="17" t="s">
        <v>8414</v>
      </c>
      <c r="C1253" s="18" t="s">
        <v>8415</v>
      </c>
      <c r="D1253" s="18" t="s">
        <v>8416</v>
      </c>
      <c r="E1253" s="18" t="s">
        <v>8417</v>
      </c>
      <c r="F1253" s="18" t="s">
        <v>2547</v>
      </c>
      <c r="G1253" s="18" t="s">
        <v>237</v>
      </c>
      <c r="H1253" s="18" t="s">
        <v>106</v>
      </c>
      <c r="I1253" s="18" t="s">
        <v>8418</v>
      </c>
      <c r="J1253" s="18" t="s">
        <v>8419</v>
      </c>
      <c r="K1253" s="18" t="s">
        <v>1713</v>
      </c>
      <c r="L1253" s="19">
        <v>26000</v>
      </c>
    </row>
    <row r="1254" spans="1:12" ht="18" customHeight="1">
      <c r="A1254" s="16" t="s">
        <v>8420</v>
      </c>
      <c r="B1254" s="17" t="s">
        <v>8421</v>
      </c>
      <c r="C1254" s="18" t="s">
        <v>8422</v>
      </c>
      <c r="D1254" s="18" t="s">
        <v>8423</v>
      </c>
      <c r="E1254" s="18" t="s">
        <v>8424</v>
      </c>
      <c r="F1254" s="18" t="s">
        <v>2547</v>
      </c>
      <c r="G1254" s="18" t="s">
        <v>237</v>
      </c>
      <c r="H1254" s="18" t="s">
        <v>168</v>
      </c>
      <c r="I1254" s="18" t="s">
        <v>8418</v>
      </c>
      <c r="J1254" s="18" t="s">
        <v>8425</v>
      </c>
      <c r="K1254" s="18" t="s">
        <v>8426</v>
      </c>
      <c r="L1254" s="19">
        <v>73700</v>
      </c>
    </row>
    <row r="1255" spans="1:12" ht="18" customHeight="1">
      <c r="A1255" s="16" t="s">
        <v>8427</v>
      </c>
      <c r="B1255" s="17" t="s">
        <v>8428</v>
      </c>
      <c r="C1255" s="18" t="s">
        <v>8429</v>
      </c>
      <c r="D1255" s="18" t="s">
        <v>8430</v>
      </c>
      <c r="E1255" s="18" t="s">
        <v>8431</v>
      </c>
      <c r="F1255" s="18" t="s">
        <v>2547</v>
      </c>
      <c r="G1255" s="18" t="s">
        <v>237</v>
      </c>
      <c r="H1255" s="18" t="s">
        <v>136</v>
      </c>
      <c r="I1255" s="18" t="s">
        <v>8432</v>
      </c>
      <c r="J1255" s="18" t="s">
        <v>8433</v>
      </c>
      <c r="K1255" s="18" t="s">
        <v>8434</v>
      </c>
      <c r="L1255" s="19">
        <v>48880</v>
      </c>
    </row>
    <row r="1256" spans="1:12" ht="18" customHeight="1">
      <c r="A1256" s="16" t="s">
        <v>8435</v>
      </c>
      <c r="B1256" s="17" t="s">
        <v>8436</v>
      </c>
      <c r="C1256" s="18" t="s">
        <v>8437</v>
      </c>
      <c r="D1256" s="18" t="s">
        <v>8438</v>
      </c>
      <c r="E1256" s="18" t="s">
        <v>8439</v>
      </c>
      <c r="F1256" s="18" t="s">
        <v>2547</v>
      </c>
      <c r="G1256" s="18" t="s">
        <v>237</v>
      </c>
      <c r="H1256" s="18" t="s">
        <v>616</v>
      </c>
      <c r="I1256" s="18" t="s">
        <v>8440</v>
      </c>
      <c r="J1256" s="18" t="s">
        <v>8441</v>
      </c>
      <c r="K1256" s="18" t="s">
        <v>8442</v>
      </c>
      <c r="L1256" s="19">
        <v>95000</v>
      </c>
    </row>
    <row r="1257" spans="1:12" ht="18" customHeight="1">
      <c r="A1257" s="16" t="s">
        <v>8443</v>
      </c>
      <c r="B1257" s="17" t="s">
        <v>8444</v>
      </c>
      <c r="C1257" s="18" t="s">
        <v>8445</v>
      </c>
      <c r="D1257" s="18" t="s">
        <v>8446</v>
      </c>
      <c r="E1257" s="18" t="s">
        <v>8447</v>
      </c>
      <c r="F1257" s="18" t="s">
        <v>2547</v>
      </c>
      <c r="G1257" s="18" t="s">
        <v>237</v>
      </c>
      <c r="H1257" s="18" t="s">
        <v>294</v>
      </c>
      <c r="I1257" s="18" t="s">
        <v>8448</v>
      </c>
      <c r="J1257" s="18" t="s">
        <v>8449</v>
      </c>
      <c r="K1257" s="18" t="s">
        <v>8450</v>
      </c>
      <c r="L1257" s="19">
        <v>55600</v>
      </c>
    </row>
    <row r="1258" spans="1:12" ht="18" customHeight="1">
      <c r="A1258" s="16" t="s">
        <v>8451</v>
      </c>
      <c r="B1258" s="17" t="s">
        <v>8452</v>
      </c>
      <c r="C1258" s="18" t="s">
        <v>8453</v>
      </c>
      <c r="D1258" s="18" t="s">
        <v>8454</v>
      </c>
      <c r="E1258" s="18" t="s">
        <v>8455</v>
      </c>
      <c r="F1258" s="18" t="s">
        <v>2547</v>
      </c>
      <c r="G1258" s="18" t="s">
        <v>237</v>
      </c>
      <c r="H1258" s="18" t="s">
        <v>294</v>
      </c>
      <c r="I1258" s="18" t="s">
        <v>8456</v>
      </c>
      <c r="J1258" s="18" t="s">
        <v>8457</v>
      </c>
      <c r="K1258" s="18" t="s">
        <v>8458</v>
      </c>
      <c r="L1258" s="19">
        <v>50740</v>
      </c>
    </row>
    <row r="1259" spans="1:12" ht="18" customHeight="1">
      <c r="A1259" s="16" t="s">
        <v>8459</v>
      </c>
      <c r="B1259" s="17" t="s">
        <v>8460</v>
      </c>
      <c r="C1259" s="18" t="s">
        <v>8461</v>
      </c>
      <c r="D1259" s="18" t="s">
        <v>8462</v>
      </c>
      <c r="E1259" s="18" t="s">
        <v>8463</v>
      </c>
      <c r="F1259" s="18" t="s">
        <v>2547</v>
      </c>
      <c r="G1259" s="18" t="s">
        <v>237</v>
      </c>
      <c r="H1259" s="18" t="s">
        <v>228</v>
      </c>
      <c r="I1259" s="18" t="s">
        <v>8464</v>
      </c>
      <c r="J1259" s="18" t="s">
        <v>8465</v>
      </c>
      <c r="K1259" s="18" t="s">
        <v>228</v>
      </c>
      <c r="L1259" s="19">
        <v>98800</v>
      </c>
    </row>
    <row r="1260" spans="1:12" ht="18" customHeight="1">
      <c r="A1260" s="16" t="s">
        <v>8466</v>
      </c>
      <c r="B1260" s="17"/>
      <c r="C1260" s="18" t="s">
        <v>56</v>
      </c>
      <c r="D1260" s="18" t="s">
        <v>8467</v>
      </c>
      <c r="E1260" s="18" t="s">
        <v>8468</v>
      </c>
      <c r="F1260" s="18"/>
      <c r="G1260" s="18" t="s">
        <v>60</v>
      </c>
      <c r="H1260" s="18" t="s">
        <v>61</v>
      </c>
      <c r="I1260" s="18" t="s">
        <v>8469</v>
      </c>
      <c r="J1260" s="18" t="s">
        <v>4070</v>
      </c>
      <c r="K1260" s="18" t="s">
        <v>61</v>
      </c>
      <c r="L1260" s="19">
        <v>20239</v>
      </c>
    </row>
    <row r="1261" spans="1:12" ht="18" customHeight="1">
      <c r="A1261" s="16" t="s">
        <v>8470</v>
      </c>
      <c r="B1261" s="17"/>
      <c r="C1261" s="18" t="s">
        <v>56</v>
      </c>
      <c r="D1261" s="18" t="s">
        <v>8471</v>
      </c>
      <c r="E1261" s="18" t="s">
        <v>8472</v>
      </c>
      <c r="F1261" s="18"/>
      <c r="G1261" s="18" t="s">
        <v>60</v>
      </c>
      <c r="H1261" s="18" t="s">
        <v>76</v>
      </c>
      <c r="I1261" s="18" t="s">
        <v>8469</v>
      </c>
      <c r="J1261" s="18" t="s">
        <v>4074</v>
      </c>
      <c r="K1261" s="18" t="s">
        <v>79</v>
      </c>
      <c r="L1261" s="19">
        <v>23040</v>
      </c>
    </row>
    <row r="1262" spans="1:12" ht="18" customHeight="1">
      <c r="A1262" s="16" t="s">
        <v>8473</v>
      </c>
      <c r="B1262" s="17"/>
      <c r="C1262" s="18" t="s">
        <v>56</v>
      </c>
      <c r="D1262" s="18" t="s">
        <v>8474</v>
      </c>
      <c r="E1262" s="18" t="s">
        <v>8475</v>
      </c>
      <c r="F1262" s="18"/>
      <c r="G1262" s="18" t="s">
        <v>60</v>
      </c>
      <c r="H1262" s="18" t="s">
        <v>68</v>
      </c>
      <c r="I1262" s="18" t="s">
        <v>8469</v>
      </c>
      <c r="J1262" s="18" t="s">
        <v>4078</v>
      </c>
      <c r="K1262" s="18" t="s">
        <v>71</v>
      </c>
      <c r="L1262" s="19">
        <v>21259</v>
      </c>
    </row>
    <row r="1263" spans="1:12" ht="18" customHeight="1">
      <c r="A1263" s="16" t="s">
        <v>8476</v>
      </c>
      <c r="B1263" s="17"/>
      <c r="C1263" s="18" t="s">
        <v>56</v>
      </c>
      <c r="D1263" s="18" t="s">
        <v>8477</v>
      </c>
      <c r="E1263" s="18" t="s">
        <v>8478</v>
      </c>
      <c r="F1263" s="18"/>
      <c r="G1263" s="18" t="s">
        <v>60</v>
      </c>
      <c r="H1263" s="18" t="s">
        <v>84</v>
      </c>
      <c r="I1263" s="18" t="s">
        <v>8469</v>
      </c>
      <c r="J1263" s="18" t="s">
        <v>4082</v>
      </c>
      <c r="K1263" s="18" t="s">
        <v>84</v>
      </c>
      <c r="L1263" s="19">
        <v>24010</v>
      </c>
    </row>
    <row r="1264" spans="1:12" ht="18" customHeight="1">
      <c r="A1264" s="16" t="s">
        <v>8479</v>
      </c>
      <c r="B1264" s="17"/>
      <c r="C1264" s="18" t="s">
        <v>56</v>
      </c>
      <c r="D1264" s="18"/>
      <c r="E1264" s="18" t="s">
        <v>8480</v>
      </c>
      <c r="F1264" s="18"/>
      <c r="G1264" s="18" t="s">
        <v>60</v>
      </c>
      <c r="H1264" s="18" t="s">
        <v>253</v>
      </c>
      <c r="I1264" s="18" t="s">
        <v>8469</v>
      </c>
      <c r="J1264" s="18"/>
      <c r="K1264" s="18"/>
      <c r="L1264" s="19"/>
    </row>
    <row r="1265" spans="1:12" ht="18" customHeight="1">
      <c r="A1265" s="16" t="s">
        <v>8481</v>
      </c>
      <c r="B1265" s="17"/>
      <c r="C1265" s="18" t="s">
        <v>56</v>
      </c>
      <c r="D1265" s="18" t="s">
        <v>8482</v>
      </c>
      <c r="E1265" s="18" t="s">
        <v>8483</v>
      </c>
      <c r="F1265" s="18"/>
      <c r="G1265" s="18" t="s">
        <v>60</v>
      </c>
      <c r="H1265" s="18" t="s">
        <v>91</v>
      </c>
      <c r="I1265" s="18" t="s">
        <v>8469</v>
      </c>
      <c r="J1265" s="18" t="s">
        <v>4086</v>
      </c>
      <c r="K1265" s="18" t="s">
        <v>94</v>
      </c>
      <c r="L1265" s="19">
        <v>29034</v>
      </c>
    </row>
    <row r="1266" spans="1:12" ht="18" customHeight="1">
      <c r="A1266" s="16" t="s">
        <v>8484</v>
      </c>
      <c r="B1266" s="17"/>
      <c r="C1266" s="18" t="s">
        <v>56</v>
      </c>
      <c r="D1266" s="18" t="s">
        <v>8485</v>
      </c>
      <c r="E1266" s="18" t="s">
        <v>8486</v>
      </c>
      <c r="F1266" s="18"/>
      <c r="G1266" s="18" t="s">
        <v>60</v>
      </c>
      <c r="H1266" s="18" t="s">
        <v>99</v>
      </c>
      <c r="I1266" s="18" t="s">
        <v>8469</v>
      </c>
      <c r="J1266" s="18" t="s">
        <v>4090</v>
      </c>
      <c r="K1266" s="18" t="s">
        <v>99</v>
      </c>
      <c r="L1266" s="19">
        <v>31200</v>
      </c>
    </row>
    <row r="1267" spans="1:12" ht="18" customHeight="1">
      <c r="A1267" s="16" t="s">
        <v>8487</v>
      </c>
      <c r="B1267" s="17"/>
      <c r="C1267" s="18" t="s">
        <v>56</v>
      </c>
      <c r="D1267" s="18" t="s">
        <v>8488</v>
      </c>
      <c r="E1267" s="18" t="s">
        <v>8489</v>
      </c>
      <c r="F1267" s="18"/>
      <c r="G1267" s="18" t="s">
        <v>60</v>
      </c>
      <c r="H1267" s="18" t="s">
        <v>106</v>
      </c>
      <c r="I1267" s="18" t="s">
        <v>8469</v>
      </c>
      <c r="J1267" s="18" t="s">
        <v>4094</v>
      </c>
      <c r="K1267" s="18" t="s">
        <v>109</v>
      </c>
      <c r="L1267" s="19">
        <v>25000</v>
      </c>
    </row>
    <row r="1268" spans="1:12" ht="18" customHeight="1">
      <c r="A1268" s="16" t="s">
        <v>8490</v>
      </c>
      <c r="B1268" s="17"/>
      <c r="C1268" s="18" t="s">
        <v>56</v>
      </c>
      <c r="D1268" s="18" t="s">
        <v>8491</v>
      </c>
      <c r="E1268" s="18" t="s">
        <v>8492</v>
      </c>
      <c r="F1268" s="18"/>
      <c r="G1268" s="18" t="s">
        <v>60</v>
      </c>
      <c r="H1268" s="18" t="s">
        <v>114</v>
      </c>
      <c r="I1268" s="18" t="s">
        <v>8469</v>
      </c>
      <c r="J1268" s="18" t="s">
        <v>4098</v>
      </c>
      <c r="K1268" s="18" t="s">
        <v>114</v>
      </c>
      <c r="L1268" s="19">
        <v>28017</v>
      </c>
    </row>
    <row r="1269" spans="1:12" ht="18" customHeight="1">
      <c r="A1269" s="16" t="s">
        <v>8493</v>
      </c>
      <c r="B1269" s="17"/>
      <c r="C1269" s="18" t="s">
        <v>56</v>
      </c>
      <c r="D1269" s="18" t="s">
        <v>8494</v>
      </c>
      <c r="E1269" s="18" t="s">
        <v>8495</v>
      </c>
      <c r="F1269" s="18"/>
      <c r="G1269" s="18" t="s">
        <v>60</v>
      </c>
      <c r="H1269" s="18" t="s">
        <v>294</v>
      </c>
      <c r="I1269" s="18" t="s">
        <v>8469</v>
      </c>
      <c r="J1269" s="18" t="s">
        <v>2786</v>
      </c>
      <c r="K1269" s="18" t="s">
        <v>1162</v>
      </c>
      <c r="L1269" s="19">
        <v>50071</v>
      </c>
    </row>
    <row r="1270" spans="1:12" ht="18" customHeight="1">
      <c r="A1270" s="16" t="s">
        <v>8496</v>
      </c>
      <c r="B1270" s="17"/>
      <c r="C1270" s="18" t="s">
        <v>56</v>
      </c>
      <c r="D1270" s="18" t="s">
        <v>8497</v>
      </c>
      <c r="E1270" s="18" t="s">
        <v>8498</v>
      </c>
      <c r="F1270" s="18"/>
      <c r="G1270" s="18" t="s">
        <v>60</v>
      </c>
      <c r="H1270" s="18" t="s">
        <v>128</v>
      </c>
      <c r="I1270" s="18" t="s">
        <v>8469</v>
      </c>
      <c r="J1270" s="18" t="s">
        <v>310</v>
      </c>
      <c r="K1270" s="18" t="s">
        <v>131</v>
      </c>
      <c r="L1270" s="19">
        <v>38020</v>
      </c>
    </row>
    <row r="1271" spans="1:12" ht="18" customHeight="1">
      <c r="A1271" s="16" t="s">
        <v>8499</v>
      </c>
      <c r="B1271" s="17"/>
      <c r="C1271" s="18" t="s">
        <v>56</v>
      </c>
      <c r="D1271" s="18" t="s">
        <v>8500</v>
      </c>
      <c r="E1271" s="18" t="s">
        <v>8501</v>
      </c>
      <c r="F1271" s="18"/>
      <c r="G1271" s="18" t="s">
        <v>60</v>
      </c>
      <c r="H1271" s="18" t="s">
        <v>136</v>
      </c>
      <c r="I1271" s="18" t="s">
        <v>8469</v>
      </c>
      <c r="J1271" s="18" t="s">
        <v>4106</v>
      </c>
      <c r="K1271" s="18" t="s">
        <v>139</v>
      </c>
      <c r="L1271" s="19">
        <v>39690</v>
      </c>
    </row>
    <row r="1272" spans="1:12" ht="18" customHeight="1">
      <c r="A1272" s="16" t="s">
        <v>8502</v>
      </c>
      <c r="B1272" s="17"/>
      <c r="C1272" s="18" t="s">
        <v>56</v>
      </c>
      <c r="D1272" s="18" t="s">
        <v>8503</v>
      </c>
      <c r="E1272" s="18" t="s">
        <v>8504</v>
      </c>
      <c r="F1272" s="18"/>
      <c r="G1272" s="18" t="s">
        <v>60</v>
      </c>
      <c r="H1272" s="18" t="s">
        <v>583</v>
      </c>
      <c r="I1272" s="18" t="s">
        <v>8469</v>
      </c>
      <c r="J1272" s="18" t="s">
        <v>4110</v>
      </c>
      <c r="K1272" s="18" t="s">
        <v>2664</v>
      </c>
      <c r="L1272" s="19">
        <v>42080</v>
      </c>
    </row>
    <row r="1273" spans="1:12" ht="18" customHeight="1">
      <c r="A1273" s="16" t="s">
        <v>8505</v>
      </c>
      <c r="B1273" s="17"/>
      <c r="C1273" s="18" t="s">
        <v>56</v>
      </c>
      <c r="D1273" s="18" t="s">
        <v>8506</v>
      </c>
      <c r="E1273" s="18" t="s">
        <v>8507</v>
      </c>
      <c r="F1273" s="18"/>
      <c r="G1273" s="18" t="s">
        <v>60</v>
      </c>
      <c r="H1273" s="18" t="s">
        <v>632</v>
      </c>
      <c r="I1273" s="18" t="s">
        <v>8469</v>
      </c>
      <c r="J1273" s="18" t="s">
        <v>1174</v>
      </c>
      <c r="K1273" s="18" t="s">
        <v>915</v>
      </c>
      <c r="L1273" s="19">
        <v>44270</v>
      </c>
    </row>
    <row r="1274" spans="1:12" ht="18" customHeight="1">
      <c r="A1274" s="16" t="s">
        <v>8508</v>
      </c>
      <c r="B1274" s="17"/>
      <c r="C1274" s="18" t="s">
        <v>56</v>
      </c>
      <c r="D1274" s="18" t="s">
        <v>8509</v>
      </c>
      <c r="E1274" s="18" t="s">
        <v>8510</v>
      </c>
      <c r="F1274" s="18"/>
      <c r="G1274" s="18" t="s">
        <v>60</v>
      </c>
      <c r="H1274" s="18" t="s">
        <v>1186</v>
      </c>
      <c r="I1274" s="18" t="s">
        <v>8469</v>
      </c>
      <c r="J1274" s="18" t="s">
        <v>4117</v>
      </c>
      <c r="K1274" s="18" t="s">
        <v>1189</v>
      </c>
      <c r="L1274" s="19">
        <v>58010</v>
      </c>
    </row>
    <row r="1275" spans="1:12" ht="18" customHeight="1">
      <c r="A1275" s="16" t="s">
        <v>8511</v>
      </c>
      <c r="B1275" s="17"/>
      <c r="C1275" s="18" t="s">
        <v>56</v>
      </c>
      <c r="D1275" s="18" t="s">
        <v>8512</v>
      </c>
      <c r="E1275" s="18" t="s">
        <v>8513</v>
      </c>
      <c r="F1275" s="18"/>
      <c r="G1275" s="18" t="s">
        <v>60</v>
      </c>
      <c r="H1275" s="18" t="s">
        <v>351</v>
      </c>
      <c r="I1275" s="18" t="s">
        <v>8469</v>
      </c>
      <c r="J1275" s="18" t="s">
        <v>4271</v>
      </c>
      <c r="K1275" s="18" t="s">
        <v>1047</v>
      </c>
      <c r="L1275" s="19">
        <v>62050</v>
      </c>
    </row>
    <row r="1276" spans="1:12" ht="18" customHeight="1">
      <c r="A1276" s="16" t="s">
        <v>8514</v>
      </c>
      <c r="B1276" s="17"/>
      <c r="C1276" s="18" t="s">
        <v>56</v>
      </c>
      <c r="D1276" s="18" t="s">
        <v>8515</v>
      </c>
      <c r="E1276" s="18" t="s">
        <v>8516</v>
      </c>
      <c r="F1276" s="18"/>
      <c r="G1276" s="18" t="s">
        <v>60</v>
      </c>
      <c r="H1276" s="18" t="s">
        <v>152</v>
      </c>
      <c r="I1276" s="18" t="s">
        <v>8469</v>
      </c>
      <c r="J1276" s="18" t="s">
        <v>4121</v>
      </c>
      <c r="K1276" s="18" t="s">
        <v>155</v>
      </c>
      <c r="L1276" s="19">
        <v>63000</v>
      </c>
    </row>
    <row r="1277" spans="1:12" ht="18" customHeight="1">
      <c r="A1277" s="16" t="s">
        <v>8517</v>
      </c>
      <c r="B1277" s="17"/>
      <c r="C1277" s="18" t="s">
        <v>56</v>
      </c>
      <c r="D1277" s="18" t="s">
        <v>8518</v>
      </c>
      <c r="E1277" s="18" t="s">
        <v>8519</v>
      </c>
      <c r="F1277" s="18"/>
      <c r="G1277" s="18" t="s">
        <v>60</v>
      </c>
      <c r="H1277" s="18" t="s">
        <v>160</v>
      </c>
      <c r="I1277" s="18" t="s">
        <v>8469</v>
      </c>
      <c r="J1277" s="18" t="s">
        <v>4125</v>
      </c>
      <c r="K1277" s="18" t="s">
        <v>930</v>
      </c>
      <c r="L1277" s="19">
        <v>64060</v>
      </c>
    </row>
    <row r="1278" spans="1:12" ht="18" customHeight="1">
      <c r="A1278" s="16" t="s">
        <v>8520</v>
      </c>
      <c r="B1278" s="17"/>
      <c r="C1278" s="18" t="s">
        <v>56</v>
      </c>
      <c r="D1278" s="18" t="s">
        <v>8521</v>
      </c>
      <c r="E1278" s="18" t="s">
        <v>8522</v>
      </c>
      <c r="F1278" s="18"/>
      <c r="G1278" s="18" t="s">
        <v>60</v>
      </c>
      <c r="H1278" s="18" t="s">
        <v>1153</v>
      </c>
      <c r="I1278" s="18" t="s">
        <v>8469</v>
      </c>
      <c r="J1278" s="18" t="s">
        <v>4288</v>
      </c>
      <c r="K1278" s="18" t="s">
        <v>1153</v>
      </c>
      <c r="L1278" s="19">
        <v>68050</v>
      </c>
    </row>
    <row r="1279" spans="1:12" ht="18" customHeight="1">
      <c r="A1279" s="16" t="s">
        <v>8523</v>
      </c>
      <c r="B1279" s="17"/>
      <c r="C1279" s="18" t="s">
        <v>56</v>
      </c>
      <c r="D1279" s="18" t="s">
        <v>8524</v>
      </c>
      <c r="E1279" s="18" t="s">
        <v>8525</v>
      </c>
      <c r="F1279" s="18"/>
      <c r="G1279" s="18" t="s">
        <v>60</v>
      </c>
      <c r="H1279" s="18" t="s">
        <v>168</v>
      </c>
      <c r="I1279" s="18" t="s">
        <v>8469</v>
      </c>
      <c r="J1279" s="18" t="s">
        <v>1129</v>
      </c>
      <c r="K1279" s="18" t="s">
        <v>168</v>
      </c>
      <c r="L1279" s="19">
        <v>72140</v>
      </c>
    </row>
    <row r="1280" spans="1:12" ht="18" customHeight="1">
      <c r="A1280" s="16" t="s">
        <v>8526</v>
      </c>
      <c r="B1280" s="17"/>
      <c r="C1280" s="18" t="s">
        <v>56</v>
      </c>
      <c r="D1280" s="18" t="s">
        <v>8527</v>
      </c>
      <c r="E1280" s="18" t="s">
        <v>8528</v>
      </c>
      <c r="F1280" s="18"/>
      <c r="G1280" s="18" t="s">
        <v>60</v>
      </c>
      <c r="H1280" s="18" t="s">
        <v>175</v>
      </c>
      <c r="I1280" s="18" t="s">
        <v>8469</v>
      </c>
      <c r="J1280" s="18" t="s">
        <v>4299</v>
      </c>
      <c r="K1280" s="18" t="s">
        <v>175</v>
      </c>
      <c r="L1280" s="19">
        <v>76030</v>
      </c>
    </row>
    <row r="1281" spans="1:12" ht="18" customHeight="1">
      <c r="A1281" s="16" t="s">
        <v>8529</v>
      </c>
      <c r="B1281" s="17"/>
      <c r="C1281" s="18" t="s">
        <v>56</v>
      </c>
      <c r="D1281" s="18" t="s">
        <v>8530</v>
      </c>
      <c r="E1281" s="18" t="s">
        <v>8531</v>
      </c>
      <c r="F1281" s="18"/>
      <c r="G1281" s="18" t="s">
        <v>60</v>
      </c>
      <c r="H1281" s="18" t="s">
        <v>182</v>
      </c>
      <c r="I1281" s="18" t="s">
        <v>8469</v>
      </c>
      <c r="J1281" s="18" t="s">
        <v>4305</v>
      </c>
      <c r="K1281" s="18" t="s">
        <v>185</v>
      </c>
      <c r="L1281" s="19">
        <v>77000</v>
      </c>
    </row>
    <row r="1282" spans="1:12" ht="18" customHeight="1">
      <c r="A1282" s="16" t="s">
        <v>8532</v>
      </c>
      <c r="B1282" s="17"/>
      <c r="C1282" s="18" t="s">
        <v>56</v>
      </c>
      <c r="D1282" s="18" t="s">
        <v>8533</v>
      </c>
      <c r="E1282" s="18" t="s">
        <v>8534</v>
      </c>
      <c r="F1282" s="18"/>
      <c r="G1282" s="18" t="s">
        <v>60</v>
      </c>
      <c r="H1282" s="18" t="s">
        <v>190</v>
      </c>
      <c r="I1282" s="18" t="s">
        <v>8469</v>
      </c>
      <c r="J1282" s="18" t="s">
        <v>4132</v>
      </c>
      <c r="K1282" s="18" t="s">
        <v>190</v>
      </c>
      <c r="L1282" s="19">
        <v>78233</v>
      </c>
    </row>
    <row r="1283" spans="1:12" ht="18" customHeight="1">
      <c r="A1283" s="16" t="s">
        <v>8535</v>
      </c>
      <c r="B1283" s="17"/>
      <c r="C1283" s="18" t="s">
        <v>56</v>
      </c>
      <c r="D1283" s="18" t="s">
        <v>8536</v>
      </c>
      <c r="E1283" s="18" t="s">
        <v>8537</v>
      </c>
      <c r="F1283" s="18"/>
      <c r="G1283" s="18" t="s">
        <v>60</v>
      </c>
      <c r="H1283" s="18" t="s">
        <v>504</v>
      </c>
      <c r="I1283" s="18" t="s">
        <v>8469</v>
      </c>
      <c r="J1283" s="18" t="s">
        <v>4136</v>
      </c>
      <c r="K1283" s="18" t="s">
        <v>894</v>
      </c>
      <c r="L1283" s="19">
        <v>80020</v>
      </c>
    </row>
    <row r="1284" spans="1:12" ht="18" customHeight="1">
      <c r="A1284" s="16" t="s">
        <v>8538</v>
      </c>
      <c r="B1284" s="17"/>
      <c r="C1284" s="18" t="s">
        <v>56</v>
      </c>
      <c r="D1284" s="18" t="s">
        <v>8539</v>
      </c>
      <c r="E1284" s="18" t="s">
        <v>8540</v>
      </c>
      <c r="F1284" s="18"/>
      <c r="G1284" s="18" t="s">
        <v>60</v>
      </c>
      <c r="H1284" s="18" t="s">
        <v>205</v>
      </c>
      <c r="I1284" s="18" t="s">
        <v>8469</v>
      </c>
      <c r="J1284" s="18" t="s">
        <v>2945</v>
      </c>
      <c r="K1284" s="18" t="s">
        <v>208</v>
      </c>
      <c r="L1284" s="19">
        <v>86000</v>
      </c>
    </row>
    <row r="1285" spans="1:12" ht="18" customHeight="1">
      <c r="A1285" s="16" t="s">
        <v>8541</v>
      </c>
      <c r="B1285" s="17"/>
      <c r="C1285" s="18" t="s">
        <v>56</v>
      </c>
      <c r="D1285" s="18" t="s">
        <v>8542</v>
      </c>
      <c r="E1285" s="18" t="s">
        <v>8543</v>
      </c>
      <c r="F1285" s="18"/>
      <c r="G1285" s="18" t="s">
        <v>60</v>
      </c>
      <c r="H1285" s="18" t="s">
        <v>213</v>
      </c>
      <c r="I1285" s="18" t="s">
        <v>8469</v>
      </c>
      <c r="J1285" s="18" t="s">
        <v>4144</v>
      </c>
      <c r="K1285" s="18" t="s">
        <v>216</v>
      </c>
      <c r="L1285" s="19">
        <v>87000</v>
      </c>
    </row>
    <row r="1286" spans="1:12" ht="18" customHeight="1">
      <c r="A1286" s="16" t="s">
        <v>8544</v>
      </c>
      <c r="B1286" s="17"/>
      <c r="C1286" s="18" t="s">
        <v>56</v>
      </c>
      <c r="D1286" s="18" t="s">
        <v>8545</v>
      </c>
      <c r="E1286" s="18" t="s">
        <v>8546</v>
      </c>
      <c r="F1286" s="18"/>
      <c r="G1286" s="18" t="s">
        <v>60</v>
      </c>
      <c r="H1286" s="18" t="s">
        <v>221</v>
      </c>
      <c r="I1286" s="18" t="s">
        <v>8469</v>
      </c>
      <c r="J1286" s="18" t="s">
        <v>1135</v>
      </c>
      <c r="K1286" s="18" t="s">
        <v>221</v>
      </c>
      <c r="L1286" s="19">
        <v>90300</v>
      </c>
    </row>
    <row r="1287" spans="1:12" ht="18" customHeight="1">
      <c r="A1287" s="16" t="s">
        <v>8547</v>
      </c>
      <c r="B1287" s="17"/>
      <c r="C1287" s="18" t="s">
        <v>56</v>
      </c>
      <c r="D1287" s="18" t="s">
        <v>8548</v>
      </c>
      <c r="E1287" s="18" t="s">
        <v>8549</v>
      </c>
      <c r="F1287" s="18"/>
      <c r="G1287" s="18" t="s">
        <v>60</v>
      </c>
      <c r="H1287" s="18" t="s">
        <v>144</v>
      </c>
      <c r="I1287" s="18" t="s">
        <v>8469</v>
      </c>
      <c r="J1287" s="18" t="s">
        <v>4349</v>
      </c>
      <c r="K1287" s="18" t="s">
        <v>147</v>
      </c>
      <c r="L1287" s="19">
        <v>97100</v>
      </c>
    </row>
    <row r="1288" spans="1:12" ht="18" customHeight="1">
      <c r="A1288" s="16" t="s">
        <v>8550</v>
      </c>
      <c r="B1288" s="17"/>
      <c r="C1288" s="18" t="s">
        <v>56</v>
      </c>
      <c r="D1288" s="18" t="s">
        <v>8551</v>
      </c>
      <c r="E1288" s="18" t="s">
        <v>8552</v>
      </c>
      <c r="F1288" s="18"/>
      <c r="G1288" s="18" t="s">
        <v>60</v>
      </c>
      <c r="H1288" s="18" t="s">
        <v>228</v>
      </c>
      <c r="I1288" s="18" t="s">
        <v>8469</v>
      </c>
      <c r="J1288" s="18" t="s">
        <v>4066</v>
      </c>
      <c r="K1288" s="18" t="s">
        <v>163</v>
      </c>
      <c r="L1288" s="19">
        <v>98604</v>
      </c>
    </row>
    <row r="1289" spans="1:12" ht="18" customHeight="1">
      <c r="A1289" s="16" t="s">
        <v>8553</v>
      </c>
      <c r="B1289" s="17"/>
      <c r="C1289" s="18" t="s">
        <v>56</v>
      </c>
      <c r="D1289" s="18" t="s">
        <v>8554</v>
      </c>
      <c r="E1289" s="18" t="s">
        <v>8555</v>
      </c>
      <c r="F1289" s="18"/>
      <c r="G1289" s="18" t="s">
        <v>60</v>
      </c>
      <c r="H1289" s="18" t="s">
        <v>121</v>
      </c>
      <c r="I1289" s="18" t="s">
        <v>8556</v>
      </c>
      <c r="J1289" s="18" t="s">
        <v>4102</v>
      </c>
      <c r="K1289" s="18" t="s">
        <v>121</v>
      </c>
      <c r="L1289" s="19">
        <v>34270</v>
      </c>
    </row>
    <row r="1290" spans="1:12" ht="18" customHeight="1">
      <c r="A1290" s="16" t="s">
        <v>8557</v>
      </c>
      <c r="B1290" s="17" t="s">
        <v>2754</v>
      </c>
      <c r="C1290" s="18" t="s">
        <v>56</v>
      </c>
      <c r="D1290" s="18" t="s">
        <v>4023</v>
      </c>
      <c r="E1290" s="18" t="s">
        <v>8558</v>
      </c>
      <c r="F1290" s="18" t="s">
        <v>350</v>
      </c>
      <c r="G1290" s="18" t="s">
        <v>60</v>
      </c>
      <c r="H1290" s="18" t="s">
        <v>253</v>
      </c>
      <c r="I1290" s="18" t="s">
        <v>8559</v>
      </c>
      <c r="J1290" s="18" t="s">
        <v>371</v>
      </c>
      <c r="K1290" s="18" t="s">
        <v>281</v>
      </c>
      <c r="L1290" s="19" t="s">
        <v>372</v>
      </c>
    </row>
    <row r="1291" spans="1:12" ht="18" customHeight="1">
      <c r="A1291" s="16" t="s">
        <v>8560</v>
      </c>
      <c r="B1291" s="17"/>
      <c r="C1291" s="18" t="s">
        <v>56</v>
      </c>
      <c r="D1291" s="18"/>
      <c r="E1291" s="18" t="s">
        <v>8561</v>
      </c>
      <c r="F1291" s="18"/>
      <c r="G1291" s="18" t="s">
        <v>60</v>
      </c>
      <c r="H1291" s="18" t="s">
        <v>253</v>
      </c>
      <c r="I1291" s="18" t="s">
        <v>8562</v>
      </c>
      <c r="J1291" s="18"/>
      <c r="K1291" s="18"/>
      <c r="L1291" s="19"/>
    </row>
    <row r="1292" spans="1:12" ht="18" customHeight="1">
      <c r="A1292" s="16" t="s">
        <v>8563</v>
      </c>
      <c r="B1292" s="17" t="s">
        <v>2754</v>
      </c>
      <c r="C1292" s="18" t="s">
        <v>56</v>
      </c>
      <c r="D1292" s="18" t="s">
        <v>8564</v>
      </c>
      <c r="E1292" s="18" t="s">
        <v>8565</v>
      </c>
      <c r="F1292" s="18" t="s">
        <v>350</v>
      </c>
      <c r="G1292" s="18" t="s">
        <v>60</v>
      </c>
      <c r="H1292" s="18" t="s">
        <v>253</v>
      </c>
      <c r="I1292" s="18" t="s">
        <v>8566</v>
      </c>
      <c r="J1292" s="18" t="s">
        <v>371</v>
      </c>
      <c r="K1292" s="18" t="s">
        <v>281</v>
      </c>
      <c r="L1292" s="19" t="s">
        <v>372</v>
      </c>
    </row>
    <row r="1293" spans="1:12" ht="18" customHeight="1">
      <c r="A1293" s="16" t="s">
        <v>8567</v>
      </c>
      <c r="B1293" s="17" t="s">
        <v>2754</v>
      </c>
      <c r="C1293" s="18" t="s">
        <v>56</v>
      </c>
      <c r="D1293" s="18" t="s">
        <v>350</v>
      </c>
      <c r="E1293" s="18" t="s">
        <v>8568</v>
      </c>
      <c r="F1293" s="18" t="s">
        <v>350</v>
      </c>
      <c r="G1293" s="18" t="s">
        <v>60</v>
      </c>
      <c r="H1293" s="18" t="s">
        <v>253</v>
      </c>
      <c r="I1293" s="18" t="s">
        <v>8569</v>
      </c>
      <c r="J1293" s="18" t="s">
        <v>371</v>
      </c>
      <c r="K1293" s="18" t="s">
        <v>281</v>
      </c>
      <c r="L1293" s="19" t="s">
        <v>372</v>
      </c>
    </row>
    <row r="1294" spans="1:12" ht="18" customHeight="1">
      <c r="A1294" s="16" t="s">
        <v>8570</v>
      </c>
      <c r="B1294" s="17"/>
      <c r="C1294" s="18" t="s">
        <v>56</v>
      </c>
      <c r="D1294" s="18" t="s">
        <v>8571</v>
      </c>
      <c r="E1294" s="18" t="s">
        <v>8572</v>
      </c>
      <c r="F1294" s="18"/>
      <c r="G1294" s="18" t="s">
        <v>60</v>
      </c>
      <c r="H1294" s="18" t="s">
        <v>61</v>
      </c>
      <c r="I1294" s="18" t="s">
        <v>8573</v>
      </c>
      <c r="J1294" s="18" t="s">
        <v>4070</v>
      </c>
      <c r="K1294" s="18" t="s">
        <v>61</v>
      </c>
      <c r="L1294" s="19">
        <v>20239</v>
      </c>
    </row>
    <row r="1295" spans="1:12" ht="18" customHeight="1">
      <c r="A1295" s="16" t="s">
        <v>8574</v>
      </c>
      <c r="B1295" s="17"/>
      <c r="C1295" s="18" t="s">
        <v>56</v>
      </c>
      <c r="D1295" s="18" t="s">
        <v>8575</v>
      </c>
      <c r="E1295" s="18" t="s">
        <v>8576</v>
      </c>
      <c r="F1295" s="18"/>
      <c r="G1295" s="18" t="s">
        <v>60</v>
      </c>
      <c r="H1295" s="18" t="s">
        <v>76</v>
      </c>
      <c r="I1295" s="18" t="s">
        <v>8573</v>
      </c>
      <c r="J1295" s="18" t="s">
        <v>4074</v>
      </c>
      <c r="K1295" s="18" t="s">
        <v>79</v>
      </c>
      <c r="L1295" s="19">
        <v>23040</v>
      </c>
    </row>
    <row r="1296" spans="1:12" ht="18" customHeight="1">
      <c r="A1296" s="16" t="s">
        <v>8577</v>
      </c>
      <c r="B1296" s="17"/>
      <c r="C1296" s="18" t="s">
        <v>56</v>
      </c>
      <c r="D1296" s="18" t="s">
        <v>8578</v>
      </c>
      <c r="E1296" s="18" t="s">
        <v>8579</v>
      </c>
      <c r="F1296" s="18"/>
      <c r="G1296" s="18" t="s">
        <v>60</v>
      </c>
      <c r="H1296" s="18" t="s">
        <v>68</v>
      </c>
      <c r="I1296" s="18" t="s">
        <v>8573</v>
      </c>
      <c r="J1296" s="18" t="s">
        <v>4078</v>
      </c>
      <c r="K1296" s="18" t="s">
        <v>71</v>
      </c>
      <c r="L1296" s="19">
        <v>21259</v>
      </c>
    </row>
    <row r="1297" spans="1:12" ht="18" customHeight="1">
      <c r="A1297" s="16" t="s">
        <v>8580</v>
      </c>
      <c r="B1297" s="17"/>
      <c r="C1297" s="18" t="s">
        <v>56</v>
      </c>
      <c r="D1297" s="18" t="s">
        <v>8581</v>
      </c>
      <c r="E1297" s="18" t="s">
        <v>8582</v>
      </c>
      <c r="F1297" s="18"/>
      <c r="G1297" s="18" t="s">
        <v>60</v>
      </c>
      <c r="H1297" s="18" t="s">
        <v>84</v>
      </c>
      <c r="I1297" s="18" t="s">
        <v>8573</v>
      </c>
      <c r="J1297" s="18" t="s">
        <v>4082</v>
      </c>
      <c r="K1297" s="18" t="s">
        <v>84</v>
      </c>
      <c r="L1297" s="19">
        <v>24010</v>
      </c>
    </row>
    <row r="1298" spans="1:12" ht="18" customHeight="1">
      <c r="A1298" s="16" t="s">
        <v>8583</v>
      </c>
      <c r="B1298" s="17"/>
      <c r="C1298" s="18" t="s">
        <v>56</v>
      </c>
      <c r="D1298" s="18" t="s">
        <v>8584</v>
      </c>
      <c r="E1298" s="18" t="s">
        <v>8585</v>
      </c>
      <c r="F1298" s="18"/>
      <c r="G1298" s="18" t="s">
        <v>60</v>
      </c>
      <c r="H1298" s="18" t="s">
        <v>91</v>
      </c>
      <c r="I1298" s="18" t="s">
        <v>8573</v>
      </c>
      <c r="J1298" s="18" t="s">
        <v>4086</v>
      </c>
      <c r="K1298" s="18" t="s">
        <v>94</v>
      </c>
      <c r="L1298" s="19">
        <v>29034</v>
      </c>
    </row>
    <row r="1299" spans="1:12" ht="18" customHeight="1">
      <c r="A1299" s="16" t="s">
        <v>8586</v>
      </c>
      <c r="B1299" s="17"/>
      <c r="C1299" s="18" t="s">
        <v>56</v>
      </c>
      <c r="D1299" s="18" t="s">
        <v>8587</v>
      </c>
      <c r="E1299" s="18" t="s">
        <v>8588</v>
      </c>
      <c r="F1299" s="18"/>
      <c r="G1299" s="18" t="s">
        <v>60</v>
      </c>
      <c r="H1299" s="18" t="s">
        <v>99</v>
      </c>
      <c r="I1299" s="18" t="s">
        <v>8573</v>
      </c>
      <c r="J1299" s="18" t="s">
        <v>4090</v>
      </c>
      <c r="K1299" s="18" t="s">
        <v>99</v>
      </c>
      <c r="L1299" s="19">
        <v>31200</v>
      </c>
    </row>
    <row r="1300" spans="1:12" ht="18" customHeight="1">
      <c r="A1300" s="16" t="s">
        <v>8589</v>
      </c>
      <c r="B1300" s="17"/>
      <c r="C1300" s="18" t="s">
        <v>56</v>
      </c>
      <c r="D1300" s="18" t="s">
        <v>8590</v>
      </c>
      <c r="E1300" s="18" t="s">
        <v>8591</v>
      </c>
      <c r="F1300" s="18"/>
      <c r="G1300" s="18" t="s">
        <v>60</v>
      </c>
      <c r="H1300" s="18" t="s">
        <v>106</v>
      </c>
      <c r="I1300" s="18" t="s">
        <v>8573</v>
      </c>
      <c r="J1300" s="18" t="s">
        <v>4094</v>
      </c>
      <c r="K1300" s="18" t="s">
        <v>109</v>
      </c>
      <c r="L1300" s="19">
        <v>25000</v>
      </c>
    </row>
    <row r="1301" spans="1:12" ht="18" customHeight="1">
      <c r="A1301" s="16" t="s">
        <v>8592</v>
      </c>
      <c r="B1301" s="17"/>
      <c r="C1301" s="18" t="s">
        <v>56</v>
      </c>
      <c r="D1301" s="18" t="s">
        <v>8593</v>
      </c>
      <c r="E1301" s="18" t="s">
        <v>8594</v>
      </c>
      <c r="F1301" s="18"/>
      <c r="G1301" s="18" t="s">
        <v>60</v>
      </c>
      <c r="H1301" s="18" t="s">
        <v>114</v>
      </c>
      <c r="I1301" s="18" t="s">
        <v>8573</v>
      </c>
      <c r="J1301" s="18" t="s">
        <v>4098</v>
      </c>
      <c r="K1301" s="18" t="s">
        <v>114</v>
      </c>
      <c r="L1301" s="19">
        <v>28017</v>
      </c>
    </row>
    <row r="1302" spans="1:12" ht="18" customHeight="1">
      <c r="A1302" s="16" t="s">
        <v>8595</v>
      </c>
      <c r="B1302" s="17"/>
      <c r="C1302" s="18" t="s">
        <v>56</v>
      </c>
      <c r="D1302" s="18" t="s">
        <v>8596</v>
      </c>
      <c r="E1302" s="18" t="s">
        <v>8597</v>
      </c>
      <c r="F1302" s="18"/>
      <c r="G1302" s="18" t="s">
        <v>60</v>
      </c>
      <c r="H1302" s="18" t="s">
        <v>121</v>
      </c>
      <c r="I1302" s="18" t="s">
        <v>8573</v>
      </c>
      <c r="J1302" s="18" t="s">
        <v>4102</v>
      </c>
      <c r="K1302" s="18" t="s">
        <v>121</v>
      </c>
      <c r="L1302" s="19">
        <v>34270</v>
      </c>
    </row>
    <row r="1303" spans="1:12" ht="18" customHeight="1">
      <c r="A1303" s="16" t="s">
        <v>8598</v>
      </c>
      <c r="B1303" s="17"/>
      <c r="C1303" s="18" t="s">
        <v>56</v>
      </c>
      <c r="D1303" s="18" t="s">
        <v>8599</v>
      </c>
      <c r="E1303" s="18" t="s">
        <v>8600</v>
      </c>
      <c r="F1303" s="18"/>
      <c r="G1303" s="18" t="s">
        <v>60</v>
      </c>
      <c r="H1303" s="18" t="s">
        <v>294</v>
      </c>
      <c r="I1303" s="18" t="s">
        <v>8573</v>
      </c>
      <c r="J1303" s="18" t="s">
        <v>2786</v>
      </c>
      <c r="K1303" s="18" t="s">
        <v>1162</v>
      </c>
      <c r="L1303" s="19">
        <v>50071</v>
      </c>
    </row>
    <row r="1304" spans="1:12" ht="18" customHeight="1">
      <c r="A1304" s="16" t="s">
        <v>8601</v>
      </c>
      <c r="B1304" s="17"/>
      <c r="C1304" s="18" t="s">
        <v>56</v>
      </c>
      <c r="D1304" s="18" t="s">
        <v>8602</v>
      </c>
      <c r="E1304" s="18" t="s">
        <v>8603</v>
      </c>
      <c r="F1304" s="18"/>
      <c r="G1304" s="18" t="s">
        <v>60</v>
      </c>
      <c r="H1304" s="18" t="s">
        <v>128</v>
      </c>
      <c r="I1304" s="18" t="s">
        <v>8573</v>
      </c>
      <c r="J1304" s="18" t="s">
        <v>310</v>
      </c>
      <c r="K1304" s="18" t="s">
        <v>131</v>
      </c>
      <c r="L1304" s="19">
        <v>38020</v>
      </c>
    </row>
    <row r="1305" spans="1:12" ht="18" customHeight="1">
      <c r="A1305" s="16" t="s">
        <v>8604</v>
      </c>
      <c r="B1305" s="17"/>
      <c r="C1305" s="18" t="s">
        <v>56</v>
      </c>
      <c r="D1305" s="18" t="s">
        <v>8605</v>
      </c>
      <c r="E1305" s="18" t="s">
        <v>8606</v>
      </c>
      <c r="F1305" s="18"/>
      <c r="G1305" s="18" t="s">
        <v>60</v>
      </c>
      <c r="H1305" s="18" t="s">
        <v>136</v>
      </c>
      <c r="I1305" s="18" t="s">
        <v>8573</v>
      </c>
      <c r="J1305" s="18" t="s">
        <v>4106</v>
      </c>
      <c r="K1305" s="18" t="s">
        <v>139</v>
      </c>
      <c r="L1305" s="19">
        <v>39690</v>
      </c>
    </row>
    <row r="1306" spans="1:12" ht="18" customHeight="1">
      <c r="A1306" s="16" t="s">
        <v>8607</v>
      </c>
      <c r="B1306" s="17"/>
      <c r="C1306" s="18" t="s">
        <v>56</v>
      </c>
      <c r="D1306" s="18" t="s">
        <v>8608</v>
      </c>
      <c r="E1306" s="18" t="s">
        <v>8609</v>
      </c>
      <c r="F1306" s="18"/>
      <c r="G1306" s="18" t="s">
        <v>60</v>
      </c>
      <c r="H1306" s="18" t="s">
        <v>583</v>
      </c>
      <c r="I1306" s="18" t="s">
        <v>8573</v>
      </c>
      <c r="J1306" s="18" t="s">
        <v>4110</v>
      </c>
      <c r="K1306" s="18" t="s">
        <v>2664</v>
      </c>
      <c r="L1306" s="19">
        <v>42080</v>
      </c>
    </row>
    <row r="1307" spans="1:12" ht="18" customHeight="1">
      <c r="A1307" s="16" t="s">
        <v>8610</v>
      </c>
      <c r="B1307" s="17"/>
      <c r="C1307" s="18" t="s">
        <v>56</v>
      </c>
      <c r="D1307" s="18" t="s">
        <v>8611</v>
      </c>
      <c r="E1307" s="18" t="s">
        <v>8612</v>
      </c>
      <c r="F1307" s="18"/>
      <c r="G1307" s="18" t="s">
        <v>60</v>
      </c>
      <c r="H1307" s="18" t="s">
        <v>632</v>
      </c>
      <c r="I1307" s="18" t="s">
        <v>8573</v>
      </c>
      <c r="J1307" s="18" t="s">
        <v>1174</v>
      </c>
      <c r="K1307" s="18" t="s">
        <v>915</v>
      </c>
      <c r="L1307" s="19">
        <v>44270</v>
      </c>
    </row>
    <row r="1308" spans="1:12" ht="18" customHeight="1">
      <c r="A1308" s="16" t="s">
        <v>8613</v>
      </c>
      <c r="B1308" s="17"/>
      <c r="C1308" s="18" t="s">
        <v>56</v>
      </c>
      <c r="D1308" s="18" t="s">
        <v>8614</v>
      </c>
      <c r="E1308" s="18" t="s">
        <v>8615</v>
      </c>
      <c r="F1308" s="18"/>
      <c r="G1308" s="18" t="s">
        <v>60</v>
      </c>
      <c r="H1308" s="18" t="s">
        <v>1186</v>
      </c>
      <c r="I1308" s="18" t="s">
        <v>8573</v>
      </c>
      <c r="J1308" s="18" t="s">
        <v>4117</v>
      </c>
      <c r="K1308" s="18" t="s">
        <v>1189</v>
      </c>
      <c r="L1308" s="19">
        <v>58010</v>
      </c>
    </row>
    <row r="1309" spans="1:12" ht="18" customHeight="1">
      <c r="A1309" s="16" t="s">
        <v>8616</v>
      </c>
      <c r="B1309" s="17"/>
      <c r="C1309" s="18" t="s">
        <v>56</v>
      </c>
      <c r="D1309" s="18" t="s">
        <v>8617</v>
      </c>
      <c r="E1309" s="18" t="s">
        <v>8618</v>
      </c>
      <c r="F1309" s="18"/>
      <c r="G1309" s="18" t="s">
        <v>60</v>
      </c>
      <c r="H1309" s="18" t="s">
        <v>351</v>
      </c>
      <c r="I1309" s="18" t="s">
        <v>8573</v>
      </c>
      <c r="J1309" s="18" t="s">
        <v>4271</v>
      </c>
      <c r="K1309" s="18" t="s">
        <v>1047</v>
      </c>
      <c r="L1309" s="19">
        <v>62050</v>
      </c>
    </row>
    <row r="1310" spans="1:12" ht="18" customHeight="1">
      <c r="A1310" s="16" t="s">
        <v>8619</v>
      </c>
      <c r="B1310" s="17"/>
      <c r="C1310" s="18" t="s">
        <v>56</v>
      </c>
      <c r="D1310" s="18" t="s">
        <v>8620</v>
      </c>
      <c r="E1310" s="18" t="s">
        <v>8621</v>
      </c>
      <c r="F1310" s="18"/>
      <c r="G1310" s="18" t="s">
        <v>60</v>
      </c>
      <c r="H1310" s="18" t="s">
        <v>152</v>
      </c>
      <c r="I1310" s="18" t="s">
        <v>8573</v>
      </c>
      <c r="J1310" s="18" t="s">
        <v>4121</v>
      </c>
      <c r="K1310" s="18" t="s">
        <v>155</v>
      </c>
      <c r="L1310" s="19">
        <v>63000</v>
      </c>
    </row>
    <row r="1311" spans="1:12" ht="18" customHeight="1">
      <c r="A1311" s="16" t="s">
        <v>8622</v>
      </c>
      <c r="B1311" s="17"/>
      <c r="C1311" s="18" t="s">
        <v>56</v>
      </c>
      <c r="D1311" s="18" t="s">
        <v>8623</v>
      </c>
      <c r="E1311" s="18" t="s">
        <v>8624</v>
      </c>
      <c r="F1311" s="18"/>
      <c r="G1311" s="18" t="s">
        <v>60</v>
      </c>
      <c r="H1311" s="18" t="s">
        <v>160</v>
      </c>
      <c r="I1311" s="18" t="s">
        <v>8573</v>
      </c>
      <c r="J1311" s="18" t="s">
        <v>4125</v>
      </c>
      <c r="K1311" s="18" t="s">
        <v>930</v>
      </c>
      <c r="L1311" s="19">
        <v>64060</v>
      </c>
    </row>
    <row r="1312" spans="1:12" ht="18" customHeight="1">
      <c r="A1312" s="16" t="s">
        <v>8625</v>
      </c>
      <c r="B1312" s="17"/>
      <c r="C1312" s="18" t="s">
        <v>56</v>
      </c>
      <c r="D1312" s="18" t="s">
        <v>8626</v>
      </c>
      <c r="E1312" s="18" t="s">
        <v>8627</v>
      </c>
      <c r="F1312" s="18"/>
      <c r="G1312" s="18" t="s">
        <v>60</v>
      </c>
      <c r="H1312" s="18" t="s">
        <v>168</v>
      </c>
      <c r="I1312" s="18" t="s">
        <v>8573</v>
      </c>
      <c r="J1312" s="18" t="s">
        <v>1129</v>
      </c>
      <c r="K1312" s="18" t="s">
        <v>168</v>
      </c>
      <c r="L1312" s="19">
        <v>72140</v>
      </c>
    </row>
    <row r="1313" spans="1:12" ht="18" customHeight="1">
      <c r="A1313" s="16" t="s">
        <v>8628</v>
      </c>
      <c r="B1313" s="17"/>
      <c r="C1313" s="18" t="s">
        <v>56</v>
      </c>
      <c r="D1313" s="18" t="s">
        <v>8629</v>
      </c>
      <c r="E1313" s="18" t="s">
        <v>8630</v>
      </c>
      <c r="F1313" s="18"/>
      <c r="G1313" s="18" t="s">
        <v>60</v>
      </c>
      <c r="H1313" s="18" t="s">
        <v>175</v>
      </c>
      <c r="I1313" s="18" t="s">
        <v>8573</v>
      </c>
      <c r="J1313" s="18" t="s">
        <v>4299</v>
      </c>
      <c r="K1313" s="18" t="s">
        <v>175</v>
      </c>
      <c r="L1313" s="19">
        <v>76030</v>
      </c>
    </row>
    <row r="1314" spans="1:12" ht="18" customHeight="1">
      <c r="A1314" s="16" t="s">
        <v>8631</v>
      </c>
      <c r="B1314" s="17"/>
      <c r="C1314" s="18" t="s">
        <v>56</v>
      </c>
      <c r="D1314" s="18" t="s">
        <v>8632</v>
      </c>
      <c r="E1314" s="18" t="s">
        <v>8633</v>
      </c>
      <c r="F1314" s="18"/>
      <c r="G1314" s="18" t="s">
        <v>60</v>
      </c>
      <c r="H1314" s="18" t="s">
        <v>182</v>
      </c>
      <c r="I1314" s="18" t="s">
        <v>8573</v>
      </c>
      <c r="J1314" s="18" t="s">
        <v>4305</v>
      </c>
      <c r="K1314" s="18" t="s">
        <v>185</v>
      </c>
      <c r="L1314" s="19">
        <v>77000</v>
      </c>
    </row>
    <row r="1315" spans="1:12" ht="18" customHeight="1">
      <c r="A1315" s="16" t="s">
        <v>8634</v>
      </c>
      <c r="B1315" s="17"/>
      <c r="C1315" s="18" t="s">
        <v>56</v>
      </c>
      <c r="D1315" s="18" t="s">
        <v>8635</v>
      </c>
      <c r="E1315" s="18" t="s">
        <v>8636</v>
      </c>
      <c r="F1315" s="18"/>
      <c r="G1315" s="18" t="s">
        <v>60</v>
      </c>
      <c r="H1315" s="18" t="s">
        <v>190</v>
      </c>
      <c r="I1315" s="18" t="s">
        <v>8573</v>
      </c>
      <c r="J1315" s="18" t="s">
        <v>4132</v>
      </c>
      <c r="K1315" s="18" t="s">
        <v>190</v>
      </c>
      <c r="L1315" s="19">
        <v>78233</v>
      </c>
    </row>
    <row r="1316" spans="1:12" ht="18" customHeight="1">
      <c r="A1316" s="16" t="s">
        <v>8637</v>
      </c>
      <c r="B1316" s="17"/>
      <c r="C1316" s="18" t="s">
        <v>56</v>
      </c>
      <c r="D1316" s="18" t="s">
        <v>8638</v>
      </c>
      <c r="E1316" s="18" t="s">
        <v>8639</v>
      </c>
      <c r="F1316" s="18"/>
      <c r="G1316" s="18" t="s">
        <v>60</v>
      </c>
      <c r="H1316" s="18" t="s">
        <v>504</v>
      </c>
      <c r="I1316" s="18" t="s">
        <v>8573</v>
      </c>
      <c r="J1316" s="18" t="s">
        <v>4136</v>
      </c>
      <c r="K1316" s="18" t="s">
        <v>894</v>
      </c>
      <c r="L1316" s="19">
        <v>80020</v>
      </c>
    </row>
    <row r="1317" spans="1:12" ht="18" customHeight="1">
      <c r="A1317" s="16" t="s">
        <v>8640</v>
      </c>
      <c r="B1317" s="17"/>
      <c r="C1317" s="18" t="s">
        <v>56</v>
      </c>
      <c r="D1317" s="18" t="s">
        <v>8641</v>
      </c>
      <c r="E1317" s="18" t="s">
        <v>8642</v>
      </c>
      <c r="F1317" s="18"/>
      <c r="G1317" s="18" t="s">
        <v>60</v>
      </c>
      <c r="H1317" s="18" t="s">
        <v>197</v>
      </c>
      <c r="I1317" s="18" t="s">
        <v>8573</v>
      </c>
      <c r="J1317" s="18" t="s">
        <v>4140</v>
      </c>
      <c r="K1317" s="18" t="s">
        <v>200</v>
      </c>
      <c r="L1317" s="19">
        <v>83280</v>
      </c>
    </row>
    <row r="1318" spans="1:12" ht="18" customHeight="1">
      <c r="A1318" s="16" t="s">
        <v>8643</v>
      </c>
      <c r="B1318" s="17"/>
      <c r="C1318" s="18" t="s">
        <v>56</v>
      </c>
      <c r="D1318" s="18" t="s">
        <v>8644</v>
      </c>
      <c r="E1318" s="18" t="s">
        <v>8645</v>
      </c>
      <c r="F1318" s="18"/>
      <c r="G1318" s="18" t="s">
        <v>60</v>
      </c>
      <c r="H1318" s="18" t="s">
        <v>205</v>
      </c>
      <c r="I1318" s="18" t="s">
        <v>8573</v>
      </c>
      <c r="J1318" s="18" t="s">
        <v>2945</v>
      </c>
      <c r="K1318" s="18" t="s">
        <v>208</v>
      </c>
      <c r="L1318" s="19">
        <v>86000</v>
      </c>
    </row>
    <row r="1319" spans="1:12" ht="18" customHeight="1">
      <c r="A1319" s="16" t="s">
        <v>8646</v>
      </c>
      <c r="B1319" s="17"/>
      <c r="C1319" s="18" t="s">
        <v>56</v>
      </c>
      <c r="D1319" s="18" t="s">
        <v>8647</v>
      </c>
      <c r="E1319" s="18" t="s">
        <v>8648</v>
      </c>
      <c r="F1319" s="18"/>
      <c r="G1319" s="18" t="s">
        <v>60</v>
      </c>
      <c r="H1319" s="18" t="s">
        <v>213</v>
      </c>
      <c r="I1319" s="18" t="s">
        <v>8573</v>
      </c>
      <c r="J1319" s="18" t="s">
        <v>4542</v>
      </c>
      <c r="K1319" s="18" t="s">
        <v>216</v>
      </c>
      <c r="L1319" s="19">
        <v>87090</v>
      </c>
    </row>
    <row r="1320" spans="1:12" ht="18" customHeight="1">
      <c r="A1320" s="16" t="s">
        <v>8649</v>
      </c>
      <c r="B1320" s="17"/>
      <c r="C1320" s="18" t="s">
        <v>56</v>
      </c>
      <c r="D1320" s="18" t="s">
        <v>8650</v>
      </c>
      <c r="E1320" s="18" t="s">
        <v>8651</v>
      </c>
      <c r="F1320" s="18"/>
      <c r="G1320" s="18" t="s">
        <v>60</v>
      </c>
      <c r="H1320" s="18" t="s">
        <v>221</v>
      </c>
      <c r="I1320" s="18" t="s">
        <v>8573</v>
      </c>
      <c r="J1320" s="18" t="s">
        <v>1135</v>
      </c>
      <c r="K1320" s="18" t="s">
        <v>221</v>
      </c>
      <c r="L1320" s="19">
        <v>90300</v>
      </c>
    </row>
    <row r="1321" spans="1:12" ht="18" customHeight="1">
      <c r="A1321" s="16" t="s">
        <v>8652</v>
      </c>
      <c r="B1321" s="17"/>
      <c r="C1321" s="18" t="s">
        <v>56</v>
      </c>
      <c r="D1321" s="18" t="s">
        <v>8653</v>
      </c>
      <c r="E1321" s="18" t="s">
        <v>8654</v>
      </c>
      <c r="F1321" s="18"/>
      <c r="G1321" s="18" t="s">
        <v>60</v>
      </c>
      <c r="H1321" s="18" t="s">
        <v>616</v>
      </c>
      <c r="I1321" s="18" t="s">
        <v>8573</v>
      </c>
      <c r="J1321" s="18" t="s">
        <v>2956</v>
      </c>
      <c r="K1321" s="18" t="s">
        <v>1181</v>
      </c>
      <c r="L1321" s="19">
        <v>91010</v>
      </c>
    </row>
    <row r="1322" spans="1:12" ht="18" customHeight="1">
      <c r="A1322" s="16" t="s">
        <v>8655</v>
      </c>
      <c r="B1322" s="17"/>
      <c r="C1322" s="18" t="s">
        <v>56</v>
      </c>
      <c r="D1322" s="18" t="s">
        <v>8656</v>
      </c>
      <c r="E1322" s="18" t="s">
        <v>8657</v>
      </c>
      <c r="F1322" s="18"/>
      <c r="G1322" s="18" t="s">
        <v>60</v>
      </c>
      <c r="H1322" s="18" t="s">
        <v>144</v>
      </c>
      <c r="I1322" s="18" t="s">
        <v>8573</v>
      </c>
      <c r="J1322" s="18" t="s">
        <v>4349</v>
      </c>
      <c r="K1322" s="18" t="s">
        <v>147</v>
      </c>
      <c r="L1322" s="19">
        <v>97100</v>
      </c>
    </row>
    <row r="1323" spans="1:12" ht="18" customHeight="1">
      <c r="A1323" s="16" t="s">
        <v>8658</v>
      </c>
      <c r="B1323" s="17"/>
      <c r="C1323" s="18" t="s">
        <v>56</v>
      </c>
      <c r="D1323" s="18" t="s">
        <v>8659</v>
      </c>
      <c r="E1323" s="18" t="s">
        <v>8660</v>
      </c>
      <c r="F1323" s="18"/>
      <c r="G1323" s="18" t="s">
        <v>60</v>
      </c>
      <c r="H1323" s="18" t="s">
        <v>228</v>
      </c>
      <c r="I1323" s="18" t="s">
        <v>8573</v>
      </c>
      <c r="J1323" s="18" t="s">
        <v>4066</v>
      </c>
      <c r="K1323" s="18" t="s">
        <v>163</v>
      </c>
      <c r="L1323" s="19">
        <v>98604</v>
      </c>
    </row>
    <row r="1324" spans="1:12" ht="18" customHeight="1">
      <c r="A1324" s="16" t="s">
        <v>8661</v>
      </c>
      <c r="B1324" s="17"/>
      <c r="C1324" s="18" t="s">
        <v>56</v>
      </c>
      <c r="D1324" s="18" t="s">
        <v>8662</v>
      </c>
      <c r="E1324" s="18" t="s">
        <v>8663</v>
      </c>
      <c r="F1324" s="18"/>
      <c r="G1324" s="18" t="s">
        <v>60</v>
      </c>
      <c r="H1324" s="18" t="s">
        <v>253</v>
      </c>
      <c r="I1324" s="18" t="s">
        <v>8664</v>
      </c>
      <c r="J1324" s="18" t="s">
        <v>4155</v>
      </c>
      <c r="K1324" s="18" t="s">
        <v>281</v>
      </c>
      <c r="L1324" s="19">
        <v>6600</v>
      </c>
    </row>
    <row r="1325" spans="1:12" ht="18" customHeight="1">
      <c r="A1325" s="16" t="s">
        <v>8665</v>
      </c>
      <c r="B1325" s="17"/>
      <c r="C1325" s="18" t="s">
        <v>56</v>
      </c>
      <c r="D1325" s="18" t="s">
        <v>8666</v>
      </c>
      <c r="E1325" s="18" t="s">
        <v>8667</v>
      </c>
      <c r="F1325" s="18"/>
      <c r="G1325" s="18" t="s">
        <v>60</v>
      </c>
      <c r="H1325" s="18" t="s">
        <v>253</v>
      </c>
      <c r="I1325" s="18" t="s">
        <v>8668</v>
      </c>
      <c r="J1325" s="18" t="s">
        <v>3769</v>
      </c>
      <c r="K1325" s="18" t="s">
        <v>1277</v>
      </c>
      <c r="L1325" s="19" t="s">
        <v>1278</v>
      </c>
    </row>
    <row r="1326" spans="1:12" ht="18" customHeight="1">
      <c r="A1326" s="16" t="s">
        <v>8669</v>
      </c>
      <c r="B1326" s="17"/>
      <c r="C1326" s="18" t="s">
        <v>56</v>
      </c>
      <c r="D1326" s="18" t="s">
        <v>8670</v>
      </c>
      <c r="E1326" s="18" t="s">
        <v>8671</v>
      </c>
      <c r="F1326" s="18"/>
      <c r="G1326" s="18" t="s">
        <v>60</v>
      </c>
      <c r="H1326" s="18" t="s">
        <v>253</v>
      </c>
      <c r="I1326" s="18" t="s">
        <v>8672</v>
      </c>
      <c r="J1326" s="18" t="s">
        <v>4164</v>
      </c>
      <c r="K1326" s="18" t="s">
        <v>1060</v>
      </c>
      <c r="L1326" s="19">
        <v>11850</v>
      </c>
    </row>
    <row r="1327" spans="1:12" ht="18" customHeight="1">
      <c r="A1327" s="16" t="s">
        <v>8673</v>
      </c>
      <c r="B1327" s="17"/>
      <c r="C1327" s="18" t="s">
        <v>56</v>
      </c>
      <c r="D1327" s="18" t="s">
        <v>8674</v>
      </c>
      <c r="E1327" s="18" t="s">
        <v>8675</v>
      </c>
      <c r="F1327" s="18"/>
      <c r="G1327" s="18" t="s">
        <v>60</v>
      </c>
      <c r="H1327" s="18" t="s">
        <v>253</v>
      </c>
      <c r="I1327" s="18" t="s">
        <v>8676</v>
      </c>
      <c r="J1327" s="18" t="s">
        <v>1118</v>
      </c>
      <c r="K1327" s="18" t="s">
        <v>1028</v>
      </c>
      <c r="L1327" s="19">
        <v>14070</v>
      </c>
    </row>
    <row r="1328" spans="1:12" ht="18" customHeight="1">
      <c r="A1328" s="16" t="s">
        <v>8677</v>
      </c>
      <c r="B1328" s="17" t="s">
        <v>8678</v>
      </c>
      <c r="C1328" s="18" t="s">
        <v>56</v>
      </c>
      <c r="D1328" s="18" t="s">
        <v>350</v>
      </c>
      <c r="E1328" s="18" t="s">
        <v>8679</v>
      </c>
      <c r="F1328" s="18" t="s">
        <v>3136</v>
      </c>
      <c r="G1328" s="18" t="s">
        <v>60</v>
      </c>
      <c r="H1328" s="18" t="s">
        <v>616</v>
      </c>
      <c r="I1328" s="18" t="s">
        <v>8680</v>
      </c>
      <c r="J1328" s="18" t="s">
        <v>8681</v>
      </c>
      <c r="K1328" s="18" t="s">
        <v>8682</v>
      </c>
      <c r="L1328" s="19">
        <v>94294</v>
      </c>
    </row>
    <row r="1329" spans="1:12" ht="18" customHeight="1">
      <c r="A1329" s="16" t="s">
        <v>8683</v>
      </c>
      <c r="B1329" s="17" t="s">
        <v>8684</v>
      </c>
      <c r="C1329" s="18" t="s">
        <v>56</v>
      </c>
      <c r="D1329" s="18" t="s">
        <v>8685</v>
      </c>
      <c r="E1329" s="18" t="s">
        <v>8686</v>
      </c>
      <c r="F1329" s="18" t="s">
        <v>3136</v>
      </c>
      <c r="G1329" s="18" t="s">
        <v>60</v>
      </c>
      <c r="H1329" s="18" t="s">
        <v>253</v>
      </c>
      <c r="I1329" s="18" t="s">
        <v>8687</v>
      </c>
      <c r="J1329" s="18" t="s">
        <v>8688</v>
      </c>
      <c r="K1329" s="18" t="s">
        <v>1060</v>
      </c>
      <c r="L1329" s="19">
        <v>11340</v>
      </c>
    </row>
    <row r="1330" spans="1:12" ht="18" customHeight="1">
      <c r="A1330" s="16" t="s">
        <v>8689</v>
      </c>
      <c r="B1330" s="17" t="s">
        <v>8690</v>
      </c>
      <c r="C1330" s="18" t="s">
        <v>56</v>
      </c>
      <c r="D1330" s="18" t="s">
        <v>8691</v>
      </c>
      <c r="E1330" s="18" t="s">
        <v>8692</v>
      </c>
      <c r="F1330" s="18" t="s">
        <v>3136</v>
      </c>
      <c r="G1330" s="18" t="s">
        <v>60</v>
      </c>
      <c r="H1330" s="18" t="s">
        <v>213</v>
      </c>
      <c r="I1330" s="18" t="s">
        <v>8693</v>
      </c>
      <c r="J1330" s="18" t="s">
        <v>8694</v>
      </c>
      <c r="K1330" s="18" t="s">
        <v>1398</v>
      </c>
      <c r="L1330" s="19">
        <v>89858</v>
      </c>
    </row>
    <row r="1331" spans="1:12" ht="18" customHeight="1">
      <c r="A1331" s="16" t="s">
        <v>8695</v>
      </c>
      <c r="B1331" s="17" t="s">
        <v>8696</v>
      </c>
      <c r="C1331" s="18" t="s">
        <v>56</v>
      </c>
      <c r="D1331" s="18" t="s">
        <v>8697</v>
      </c>
      <c r="E1331" s="18" t="s">
        <v>8698</v>
      </c>
      <c r="F1331" s="18" t="s">
        <v>3136</v>
      </c>
      <c r="G1331" s="18" t="s">
        <v>60</v>
      </c>
      <c r="H1331" s="18" t="s">
        <v>213</v>
      </c>
      <c r="I1331" s="18" t="s">
        <v>8699</v>
      </c>
      <c r="J1331" s="18" t="s">
        <v>8700</v>
      </c>
      <c r="K1331" s="18" t="s">
        <v>1481</v>
      </c>
      <c r="L1331" s="19">
        <v>88600</v>
      </c>
    </row>
    <row r="1332" spans="1:12" ht="18" customHeight="1">
      <c r="A1332" s="16" t="s">
        <v>8701</v>
      </c>
      <c r="B1332" s="17" t="s">
        <v>8702</v>
      </c>
      <c r="C1332" s="18" t="s">
        <v>56</v>
      </c>
      <c r="D1332" s="18" t="s">
        <v>8703</v>
      </c>
      <c r="E1332" s="18" t="s">
        <v>8704</v>
      </c>
      <c r="F1332" s="18" t="s">
        <v>3136</v>
      </c>
      <c r="G1332" s="18" t="s">
        <v>60</v>
      </c>
      <c r="H1332" s="18" t="s">
        <v>616</v>
      </c>
      <c r="I1332" s="18" t="s">
        <v>8705</v>
      </c>
      <c r="J1332" s="18" t="s">
        <v>8706</v>
      </c>
      <c r="K1332" s="18" t="s">
        <v>1458</v>
      </c>
      <c r="L1332" s="19">
        <v>96537</v>
      </c>
    </row>
    <row r="1333" spans="1:12" ht="18" customHeight="1">
      <c r="A1333" s="16" t="s">
        <v>8707</v>
      </c>
      <c r="B1333" s="17" t="s">
        <v>8708</v>
      </c>
      <c r="C1333" s="18" t="s">
        <v>56</v>
      </c>
      <c r="D1333" s="18" t="s">
        <v>8709</v>
      </c>
      <c r="E1333" s="18" t="s">
        <v>8710</v>
      </c>
      <c r="F1333" s="18" t="s">
        <v>3136</v>
      </c>
      <c r="G1333" s="18" t="s">
        <v>60</v>
      </c>
      <c r="H1333" s="18" t="s">
        <v>91</v>
      </c>
      <c r="I1333" s="18" t="s">
        <v>8711</v>
      </c>
      <c r="J1333" s="18" t="s">
        <v>8712</v>
      </c>
      <c r="K1333" s="18" t="s">
        <v>1466</v>
      </c>
      <c r="L1333" s="19">
        <v>30000</v>
      </c>
    </row>
    <row r="1334" spans="1:12" ht="18" customHeight="1">
      <c r="A1334" s="16" t="s">
        <v>8713</v>
      </c>
      <c r="B1334" s="17" t="s">
        <v>8714</v>
      </c>
      <c r="C1334" s="18" t="s">
        <v>56</v>
      </c>
      <c r="D1334" s="18" t="s">
        <v>8715</v>
      </c>
      <c r="E1334" s="18" t="s">
        <v>8716</v>
      </c>
      <c r="F1334" s="18" t="s">
        <v>3136</v>
      </c>
      <c r="G1334" s="18" t="s">
        <v>60</v>
      </c>
      <c r="H1334" s="18" t="s">
        <v>294</v>
      </c>
      <c r="I1334" s="18" t="s">
        <v>8717</v>
      </c>
      <c r="J1334" s="18" t="s">
        <v>8718</v>
      </c>
      <c r="K1334" s="18" t="s">
        <v>304</v>
      </c>
      <c r="L1334" s="19">
        <v>55000</v>
      </c>
    </row>
    <row r="1335" spans="1:12" ht="18" customHeight="1">
      <c r="A1335" s="16" t="s">
        <v>8719</v>
      </c>
      <c r="B1335" s="17" t="s">
        <v>8720</v>
      </c>
      <c r="C1335" s="18" t="s">
        <v>56</v>
      </c>
      <c r="D1335" s="18" t="s">
        <v>350</v>
      </c>
      <c r="E1335" s="18" t="s">
        <v>8721</v>
      </c>
      <c r="F1335" s="18" t="s">
        <v>3136</v>
      </c>
      <c r="G1335" s="18" t="s">
        <v>60</v>
      </c>
      <c r="H1335" s="18" t="s">
        <v>253</v>
      </c>
      <c r="I1335" s="18" t="s">
        <v>8722</v>
      </c>
      <c r="J1335" s="18" t="s">
        <v>8723</v>
      </c>
      <c r="K1335" s="18" t="s">
        <v>330</v>
      </c>
      <c r="L1335" s="19" t="s">
        <v>1297</v>
      </c>
    </row>
    <row r="1336" spans="1:12" ht="18" customHeight="1">
      <c r="A1336" s="16" t="s">
        <v>8724</v>
      </c>
      <c r="B1336" s="17" t="s">
        <v>8725</v>
      </c>
      <c r="C1336" s="18" t="s">
        <v>56</v>
      </c>
      <c r="D1336" s="18" t="s">
        <v>8726</v>
      </c>
      <c r="E1336" s="18" t="s">
        <v>8727</v>
      </c>
      <c r="F1336" s="18" t="s">
        <v>3136</v>
      </c>
      <c r="G1336" s="18" t="s">
        <v>60</v>
      </c>
      <c r="H1336" s="18" t="s">
        <v>121</v>
      </c>
      <c r="I1336" s="18" t="s">
        <v>8728</v>
      </c>
      <c r="J1336" s="18" t="s">
        <v>1541</v>
      </c>
      <c r="K1336" s="18" t="s">
        <v>1106</v>
      </c>
      <c r="L1336" s="19">
        <v>35000</v>
      </c>
    </row>
    <row r="1337" spans="1:12" ht="18" customHeight="1">
      <c r="A1337" s="16" t="s">
        <v>8729</v>
      </c>
      <c r="B1337" s="17" t="s">
        <v>8730</v>
      </c>
      <c r="C1337" s="18" t="s">
        <v>56</v>
      </c>
      <c r="D1337" s="18" t="s">
        <v>8731</v>
      </c>
      <c r="E1337" s="18" t="s">
        <v>8732</v>
      </c>
      <c r="F1337" s="18" t="s">
        <v>3136</v>
      </c>
      <c r="G1337" s="18" t="s">
        <v>60</v>
      </c>
      <c r="H1337" s="18" t="s">
        <v>128</v>
      </c>
      <c r="I1337" s="18" t="s">
        <v>8733</v>
      </c>
      <c r="J1337" s="18" t="s">
        <v>8734</v>
      </c>
      <c r="K1337" s="18" t="s">
        <v>128</v>
      </c>
      <c r="L1337" s="19">
        <v>36000</v>
      </c>
    </row>
    <row r="1338" spans="1:12" ht="18" customHeight="1">
      <c r="A1338" s="16" t="s">
        <v>8735</v>
      </c>
      <c r="B1338" s="17" t="s">
        <v>8736</v>
      </c>
      <c r="C1338" s="18" t="s">
        <v>56</v>
      </c>
      <c r="D1338" s="18" t="s">
        <v>8737</v>
      </c>
      <c r="E1338" s="18" t="s">
        <v>8738</v>
      </c>
      <c r="F1338" s="18" t="s">
        <v>3136</v>
      </c>
      <c r="G1338" s="18" t="s">
        <v>60</v>
      </c>
      <c r="H1338" s="18" t="s">
        <v>128</v>
      </c>
      <c r="I1338" s="18" t="s">
        <v>8739</v>
      </c>
      <c r="J1338" s="18" t="s">
        <v>8740</v>
      </c>
      <c r="K1338" s="18" t="s">
        <v>1604</v>
      </c>
      <c r="L1338" s="19">
        <v>36650</v>
      </c>
    </row>
    <row r="1339" spans="1:12" ht="18" customHeight="1">
      <c r="A1339" s="16" t="s">
        <v>8741</v>
      </c>
      <c r="B1339" s="17" t="s">
        <v>8742</v>
      </c>
      <c r="C1339" s="18" t="s">
        <v>56</v>
      </c>
      <c r="D1339" s="18" t="s">
        <v>8743</v>
      </c>
      <c r="E1339" s="18" t="s">
        <v>8744</v>
      </c>
      <c r="F1339" s="18" t="s">
        <v>3136</v>
      </c>
      <c r="G1339" s="18" t="s">
        <v>60</v>
      </c>
      <c r="H1339" s="18" t="s">
        <v>128</v>
      </c>
      <c r="I1339" s="18" t="s">
        <v>8745</v>
      </c>
      <c r="J1339" s="18" t="s">
        <v>8746</v>
      </c>
      <c r="K1339" s="18" t="s">
        <v>3070</v>
      </c>
      <c r="L1339" s="19">
        <v>37520</v>
      </c>
    </row>
    <row r="1340" spans="1:12" ht="18" customHeight="1">
      <c r="A1340" s="16" t="s">
        <v>8747</v>
      </c>
      <c r="B1340" s="17" t="s">
        <v>8748</v>
      </c>
      <c r="C1340" s="18" t="s">
        <v>56</v>
      </c>
      <c r="D1340" s="18" t="s">
        <v>8749</v>
      </c>
      <c r="E1340" s="18" t="s">
        <v>8750</v>
      </c>
      <c r="F1340" s="18" t="s">
        <v>3136</v>
      </c>
      <c r="G1340" s="18" t="s">
        <v>60</v>
      </c>
      <c r="H1340" s="18" t="s">
        <v>213</v>
      </c>
      <c r="I1340" s="18" t="s">
        <v>8751</v>
      </c>
      <c r="J1340" s="18" t="s">
        <v>8752</v>
      </c>
      <c r="K1340" s="18" t="s">
        <v>1489</v>
      </c>
      <c r="L1340" s="19">
        <v>87360</v>
      </c>
    </row>
    <row r="1341" spans="1:12" ht="18" customHeight="1">
      <c r="A1341" s="16" t="s">
        <v>8753</v>
      </c>
      <c r="B1341" s="17" t="s">
        <v>8754</v>
      </c>
      <c r="C1341" s="18" t="s">
        <v>56</v>
      </c>
      <c r="D1341" s="18" t="s">
        <v>8755</v>
      </c>
      <c r="E1341" s="18" t="s">
        <v>8756</v>
      </c>
      <c r="F1341" s="18" t="s">
        <v>3136</v>
      </c>
      <c r="G1341" s="18" t="s">
        <v>60</v>
      </c>
      <c r="H1341" s="18" t="s">
        <v>106</v>
      </c>
      <c r="I1341" s="18" t="s">
        <v>8757</v>
      </c>
      <c r="J1341" s="18" t="s">
        <v>8758</v>
      </c>
      <c r="K1341" s="18" t="s">
        <v>1652</v>
      </c>
      <c r="L1341" s="19">
        <v>25720</v>
      </c>
    </row>
    <row r="1342" spans="1:12" ht="18" customHeight="1">
      <c r="A1342" s="16" t="s">
        <v>8759</v>
      </c>
      <c r="B1342" s="17" t="s">
        <v>8760</v>
      </c>
      <c r="C1342" s="18" t="s">
        <v>56</v>
      </c>
      <c r="D1342" s="18" t="s">
        <v>8761</v>
      </c>
      <c r="E1342" s="18" t="s">
        <v>8762</v>
      </c>
      <c r="F1342" s="18" t="s">
        <v>3136</v>
      </c>
      <c r="G1342" s="18" t="s">
        <v>60</v>
      </c>
      <c r="H1342" s="18" t="s">
        <v>213</v>
      </c>
      <c r="I1342" s="18" t="s">
        <v>8763</v>
      </c>
      <c r="J1342" s="18" t="s">
        <v>8764</v>
      </c>
      <c r="K1342" s="18" t="s">
        <v>213</v>
      </c>
      <c r="L1342" s="19">
        <v>88000</v>
      </c>
    </row>
    <row r="1343" spans="1:12" ht="18" customHeight="1">
      <c r="A1343" s="16" t="s">
        <v>8765</v>
      </c>
      <c r="B1343" s="17" t="s">
        <v>8766</v>
      </c>
      <c r="C1343" s="18" t="s">
        <v>56</v>
      </c>
      <c r="D1343" s="18" t="s">
        <v>8767</v>
      </c>
      <c r="E1343" s="18" t="s">
        <v>8768</v>
      </c>
      <c r="F1343" s="18" t="s">
        <v>3136</v>
      </c>
      <c r="G1343" s="18" t="s">
        <v>60</v>
      </c>
      <c r="H1343" s="18" t="s">
        <v>616</v>
      </c>
      <c r="I1343" s="18" t="s">
        <v>8769</v>
      </c>
      <c r="J1343" s="18" t="s">
        <v>8770</v>
      </c>
      <c r="K1343" s="18" t="s">
        <v>1689</v>
      </c>
      <c r="L1343" s="19">
        <v>94330</v>
      </c>
    </row>
    <row r="1344" spans="1:12" ht="18" customHeight="1">
      <c r="A1344" s="16" t="s">
        <v>8771</v>
      </c>
      <c r="B1344" s="17" t="s">
        <v>8772</v>
      </c>
      <c r="C1344" s="18" t="s">
        <v>56</v>
      </c>
      <c r="D1344" s="18" t="s">
        <v>350</v>
      </c>
      <c r="E1344" s="18" t="s">
        <v>8773</v>
      </c>
      <c r="F1344" s="18" t="s">
        <v>3136</v>
      </c>
      <c r="G1344" s="18" t="s">
        <v>60</v>
      </c>
      <c r="H1344" s="18" t="s">
        <v>253</v>
      </c>
      <c r="I1344" s="18" t="s">
        <v>8774</v>
      </c>
      <c r="J1344" s="18" t="s">
        <v>8775</v>
      </c>
      <c r="K1344" s="18" t="s">
        <v>330</v>
      </c>
      <c r="L1344" s="19" t="s">
        <v>2120</v>
      </c>
    </row>
    <row r="1345" spans="1:12" ht="18" customHeight="1">
      <c r="A1345" s="16" t="s">
        <v>8776</v>
      </c>
      <c r="B1345" s="17" t="s">
        <v>8777</v>
      </c>
      <c r="C1345" s="18" t="s">
        <v>56</v>
      </c>
      <c r="D1345" s="18" t="s">
        <v>350</v>
      </c>
      <c r="E1345" s="18" t="s">
        <v>8778</v>
      </c>
      <c r="F1345" s="18" t="s">
        <v>3136</v>
      </c>
      <c r="G1345" s="18" t="s">
        <v>60</v>
      </c>
      <c r="H1345" s="18" t="s">
        <v>253</v>
      </c>
      <c r="I1345" s="18" t="s">
        <v>8779</v>
      </c>
      <c r="J1345" s="18" t="s">
        <v>8780</v>
      </c>
      <c r="K1345" s="18" t="s">
        <v>1975</v>
      </c>
      <c r="L1345" s="19">
        <v>15240</v>
      </c>
    </row>
    <row r="1346" spans="1:12" ht="18" customHeight="1">
      <c r="A1346" s="16" t="s">
        <v>8781</v>
      </c>
      <c r="B1346" s="17" t="s">
        <v>8782</v>
      </c>
      <c r="C1346" s="18" t="s">
        <v>56</v>
      </c>
      <c r="D1346" s="18" t="s">
        <v>8783</v>
      </c>
      <c r="E1346" s="18" t="s">
        <v>8784</v>
      </c>
      <c r="F1346" s="18" t="s">
        <v>3136</v>
      </c>
      <c r="G1346" s="18" t="s">
        <v>60</v>
      </c>
      <c r="H1346" s="18" t="s">
        <v>253</v>
      </c>
      <c r="I1346" s="18" t="s">
        <v>8785</v>
      </c>
      <c r="J1346" s="18" t="s">
        <v>8786</v>
      </c>
      <c r="K1346" s="18" t="s">
        <v>1217</v>
      </c>
      <c r="L1346" s="19" t="s">
        <v>8787</v>
      </c>
    </row>
    <row r="1347" spans="1:12" ht="18" customHeight="1">
      <c r="A1347" s="16" t="s">
        <v>8788</v>
      </c>
      <c r="B1347" s="17" t="s">
        <v>8789</v>
      </c>
      <c r="C1347" s="18" t="s">
        <v>56</v>
      </c>
      <c r="D1347" s="18" t="s">
        <v>350</v>
      </c>
      <c r="E1347" s="18" t="s">
        <v>8790</v>
      </c>
      <c r="F1347" s="18" t="s">
        <v>3136</v>
      </c>
      <c r="G1347" s="18" t="s">
        <v>60</v>
      </c>
      <c r="H1347" s="18" t="s">
        <v>106</v>
      </c>
      <c r="I1347" s="18" t="s">
        <v>8791</v>
      </c>
      <c r="J1347" s="18" t="s">
        <v>2898</v>
      </c>
      <c r="K1347" s="18" t="s">
        <v>109</v>
      </c>
      <c r="L1347" s="19">
        <v>25000</v>
      </c>
    </row>
    <row r="1348" spans="1:12" ht="18" customHeight="1">
      <c r="A1348" s="16" t="s">
        <v>8792</v>
      </c>
      <c r="B1348" s="17" t="s">
        <v>8793</v>
      </c>
      <c r="C1348" s="18" t="s">
        <v>56</v>
      </c>
      <c r="D1348" s="18" t="s">
        <v>8794</v>
      </c>
      <c r="E1348" s="18" t="s">
        <v>8795</v>
      </c>
      <c r="F1348" s="18" t="s">
        <v>3136</v>
      </c>
      <c r="G1348" s="18" t="s">
        <v>60</v>
      </c>
      <c r="H1348" s="18" t="s">
        <v>91</v>
      </c>
      <c r="I1348" s="18" t="s">
        <v>8796</v>
      </c>
      <c r="J1348" s="18" t="s">
        <v>8797</v>
      </c>
      <c r="K1348" s="18" t="s">
        <v>1777</v>
      </c>
      <c r="L1348" s="19">
        <v>29270</v>
      </c>
    </row>
    <row r="1349" spans="1:12" ht="18" customHeight="1">
      <c r="A1349" s="16" t="s">
        <v>8798</v>
      </c>
      <c r="B1349" s="17" t="s">
        <v>8799</v>
      </c>
      <c r="C1349" s="18" t="s">
        <v>56</v>
      </c>
      <c r="D1349" s="18" t="s">
        <v>8800</v>
      </c>
      <c r="E1349" s="18" t="s">
        <v>8801</v>
      </c>
      <c r="F1349" s="18" t="s">
        <v>3136</v>
      </c>
      <c r="G1349" s="18" t="s">
        <v>60</v>
      </c>
      <c r="H1349" s="18" t="s">
        <v>68</v>
      </c>
      <c r="I1349" s="18" t="s">
        <v>8802</v>
      </c>
      <c r="J1349" s="18" t="s">
        <v>8803</v>
      </c>
      <c r="K1349" s="18" t="s">
        <v>2314</v>
      </c>
      <c r="L1349" s="19">
        <v>22320</v>
      </c>
    </row>
    <row r="1350" spans="1:12" ht="18" customHeight="1">
      <c r="A1350" s="16" t="s">
        <v>8804</v>
      </c>
      <c r="B1350" s="17" t="s">
        <v>8805</v>
      </c>
      <c r="C1350" s="18" t="s">
        <v>56</v>
      </c>
      <c r="D1350" s="18" t="s">
        <v>8806</v>
      </c>
      <c r="E1350" s="18" t="s">
        <v>8807</v>
      </c>
      <c r="F1350" s="18" t="s">
        <v>3136</v>
      </c>
      <c r="G1350" s="18" t="s">
        <v>60</v>
      </c>
      <c r="H1350" s="18" t="s">
        <v>294</v>
      </c>
      <c r="I1350" s="18" t="s">
        <v>8808</v>
      </c>
      <c r="J1350" s="18" t="s">
        <v>8809</v>
      </c>
      <c r="K1350" s="18" t="s">
        <v>2511</v>
      </c>
      <c r="L1350" s="19">
        <v>54150</v>
      </c>
    </row>
    <row r="1351" spans="1:12" ht="18" customHeight="1">
      <c r="A1351" s="16" t="s">
        <v>8810</v>
      </c>
      <c r="B1351" s="17" t="s">
        <v>8811</v>
      </c>
      <c r="C1351" s="18" t="s">
        <v>56</v>
      </c>
      <c r="D1351" s="18" t="s">
        <v>8812</v>
      </c>
      <c r="E1351" s="18" t="s">
        <v>8813</v>
      </c>
      <c r="F1351" s="18" t="s">
        <v>3136</v>
      </c>
      <c r="G1351" s="18" t="s">
        <v>60</v>
      </c>
      <c r="H1351" s="18" t="s">
        <v>106</v>
      </c>
      <c r="I1351" s="18" t="s">
        <v>8814</v>
      </c>
      <c r="J1351" s="18" t="s">
        <v>8815</v>
      </c>
      <c r="K1351" s="18" t="s">
        <v>289</v>
      </c>
      <c r="L1351" s="19">
        <v>27000</v>
      </c>
    </row>
    <row r="1352" spans="1:12" ht="18" customHeight="1">
      <c r="A1352" s="16" t="s">
        <v>8816</v>
      </c>
      <c r="B1352" s="17" t="s">
        <v>8817</v>
      </c>
      <c r="C1352" s="18" t="s">
        <v>56</v>
      </c>
      <c r="D1352" s="18" t="s">
        <v>8818</v>
      </c>
      <c r="E1352" s="18" t="s">
        <v>8819</v>
      </c>
      <c r="F1352" s="18" t="s">
        <v>3136</v>
      </c>
      <c r="G1352" s="18" t="s">
        <v>60</v>
      </c>
      <c r="H1352" s="18" t="s">
        <v>616</v>
      </c>
      <c r="I1352" s="18" t="s">
        <v>8820</v>
      </c>
      <c r="J1352" s="18" t="s">
        <v>8821</v>
      </c>
      <c r="K1352" s="18" t="s">
        <v>1848</v>
      </c>
      <c r="L1352" s="19">
        <v>92860</v>
      </c>
    </row>
    <row r="1353" spans="1:12" ht="18" customHeight="1">
      <c r="A1353" s="16" t="s">
        <v>8822</v>
      </c>
      <c r="B1353" s="17" t="s">
        <v>8823</v>
      </c>
      <c r="C1353" s="18" t="s">
        <v>56</v>
      </c>
      <c r="D1353" s="18" t="s">
        <v>5272</v>
      </c>
      <c r="E1353" s="18" t="s">
        <v>8824</v>
      </c>
      <c r="F1353" s="18" t="s">
        <v>3136</v>
      </c>
      <c r="G1353" s="18" t="s">
        <v>60</v>
      </c>
      <c r="H1353" s="18" t="s">
        <v>253</v>
      </c>
      <c r="I1353" s="18" t="s">
        <v>8825</v>
      </c>
      <c r="J1353" s="18" t="s">
        <v>8826</v>
      </c>
      <c r="K1353" s="18" t="s">
        <v>1217</v>
      </c>
      <c r="L1353" s="19" t="s">
        <v>8827</v>
      </c>
    </row>
    <row r="1354" spans="1:12" ht="18" customHeight="1">
      <c r="A1354" s="16" t="s">
        <v>8828</v>
      </c>
      <c r="B1354" s="17" t="s">
        <v>8829</v>
      </c>
      <c r="C1354" s="18" t="s">
        <v>56</v>
      </c>
      <c r="D1354" s="18" t="s">
        <v>8830</v>
      </c>
      <c r="E1354" s="18" t="s">
        <v>8831</v>
      </c>
      <c r="F1354" s="18" t="s">
        <v>8832</v>
      </c>
      <c r="G1354" s="18" t="s">
        <v>60</v>
      </c>
      <c r="H1354" s="18" t="s">
        <v>253</v>
      </c>
      <c r="I1354" s="18" t="s">
        <v>8833</v>
      </c>
      <c r="J1354" s="18" t="s">
        <v>8834</v>
      </c>
      <c r="K1354" s="18" t="s">
        <v>1028</v>
      </c>
      <c r="L1354" s="19">
        <v>14000</v>
      </c>
    </row>
    <row r="1355" spans="1:12" ht="18" customHeight="1">
      <c r="A1355" s="16" t="s">
        <v>8835</v>
      </c>
      <c r="B1355" s="17" t="s">
        <v>8836</v>
      </c>
      <c r="C1355" s="18" t="s">
        <v>56</v>
      </c>
      <c r="D1355" s="18" t="s">
        <v>8837</v>
      </c>
      <c r="E1355" s="18" t="s">
        <v>8838</v>
      </c>
      <c r="F1355" s="18" t="s">
        <v>8832</v>
      </c>
      <c r="G1355" s="18" t="s">
        <v>60</v>
      </c>
      <c r="H1355" s="18" t="s">
        <v>253</v>
      </c>
      <c r="I1355" s="18" t="s">
        <v>8839</v>
      </c>
      <c r="J1355" s="18" t="s">
        <v>8840</v>
      </c>
      <c r="K1355" s="18" t="s">
        <v>281</v>
      </c>
      <c r="L1355" s="19" t="s">
        <v>1209</v>
      </c>
    </row>
    <row r="1356" spans="1:12" ht="18" customHeight="1">
      <c r="A1356" s="16" t="s">
        <v>8841</v>
      </c>
      <c r="B1356" s="17" t="s">
        <v>8842</v>
      </c>
      <c r="C1356" s="18" t="s">
        <v>56</v>
      </c>
      <c r="D1356" s="18" t="s">
        <v>8843</v>
      </c>
      <c r="E1356" s="18" t="s">
        <v>8844</v>
      </c>
      <c r="F1356" s="18" t="s">
        <v>8832</v>
      </c>
      <c r="G1356" s="18" t="s">
        <v>60</v>
      </c>
      <c r="H1356" s="18" t="s">
        <v>632</v>
      </c>
      <c r="I1356" s="18" t="s">
        <v>8845</v>
      </c>
      <c r="J1356" s="18" t="s">
        <v>8846</v>
      </c>
      <c r="K1356" s="18" t="s">
        <v>915</v>
      </c>
      <c r="L1356" s="19">
        <v>44850</v>
      </c>
    </row>
    <row r="1357" spans="1:12" ht="18" customHeight="1">
      <c r="A1357" s="16" t="s">
        <v>8847</v>
      </c>
      <c r="B1357" s="17" t="s">
        <v>8848</v>
      </c>
      <c r="C1357" s="18" t="s">
        <v>56</v>
      </c>
      <c r="D1357" s="18" t="s">
        <v>8849</v>
      </c>
      <c r="E1357" s="18" t="s">
        <v>8850</v>
      </c>
      <c r="F1357" s="18" t="s">
        <v>8832</v>
      </c>
      <c r="G1357" s="18" t="s">
        <v>60</v>
      </c>
      <c r="H1357" s="18" t="s">
        <v>294</v>
      </c>
      <c r="I1357" s="18" t="s">
        <v>8851</v>
      </c>
      <c r="J1357" s="18" t="s">
        <v>8852</v>
      </c>
      <c r="K1357" s="18" t="s">
        <v>2496</v>
      </c>
      <c r="L1357" s="19">
        <v>53296</v>
      </c>
    </row>
    <row r="1358" spans="1:12" ht="18" customHeight="1">
      <c r="A1358" s="16" t="s">
        <v>8853</v>
      </c>
      <c r="B1358" s="17" t="s">
        <v>8854</v>
      </c>
      <c r="C1358" s="18" t="s">
        <v>56</v>
      </c>
      <c r="D1358" s="18" t="s">
        <v>8855</v>
      </c>
      <c r="E1358" s="18" t="s">
        <v>8856</v>
      </c>
      <c r="F1358" s="18" t="s">
        <v>8832</v>
      </c>
      <c r="G1358" s="18" t="s">
        <v>60</v>
      </c>
      <c r="H1358" s="18" t="s">
        <v>160</v>
      </c>
      <c r="I1358" s="18" t="s">
        <v>8857</v>
      </c>
      <c r="J1358" s="18" t="s">
        <v>8858</v>
      </c>
      <c r="K1358" s="18" t="s">
        <v>930</v>
      </c>
      <c r="L1358" s="19">
        <v>64180</v>
      </c>
    </row>
    <row r="1359" spans="1:12" ht="18" customHeight="1">
      <c r="A1359" s="16" t="s">
        <v>8859</v>
      </c>
      <c r="B1359" s="17" t="s">
        <v>8860</v>
      </c>
      <c r="C1359" s="18" t="s">
        <v>56</v>
      </c>
      <c r="D1359" s="18" t="s">
        <v>8861</v>
      </c>
      <c r="E1359" s="18" t="s">
        <v>8862</v>
      </c>
      <c r="F1359" s="18" t="s">
        <v>8832</v>
      </c>
      <c r="G1359" s="18" t="s">
        <v>60</v>
      </c>
      <c r="H1359" s="18" t="s">
        <v>253</v>
      </c>
      <c r="I1359" s="18" t="s">
        <v>8863</v>
      </c>
      <c r="J1359" s="18" t="s">
        <v>8864</v>
      </c>
      <c r="K1359" s="18" t="s">
        <v>330</v>
      </c>
      <c r="L1359" s="19" t="s">
        <v>8865</v>
      </c>
    </row>
    <row r="1360" spans="1:12" ht="18" customHeight="1">
      <c r="A1360" s="16" t="s">
        <v>8866</v>
      </c>
      <c r="B1360" s="17" t="s">
        <v>8867</v>
      </c>
      <c r="C1360" s="18" t="s">
        <v>56</v>
      </c>
      <c r="D1360" s="18" t="s">
        <v>8868</v>
      </c>
      <c r="E1360" s="18" t="s">
        <v>8869</v>
      </c>
      <c r="F1360" s="18" t="s">
        <v>8832</v>
      </c>
      <c r="G1360" s="18" t="s">
        <v>60</v>
      </c>
      <c r="H1360" s="18" t="s">
        <v>294</v>
      </c>
      <c r="I1360" s="18" t="s">
        <v>8870</v>
      </c>
      <c r="J1360" s="18" t="s">
        <v>8871</v>
      </c>
      <c r="K1360" s="18" t="s">
        <v>1162</v>
      </c>
      <c r="L1360" s="19">
        <v>50261</v>
      </c>
    </row>
    <row r="1361" spans="2:12" ht="18" customHeight="1">
      <c r="B1361" s="17"/>
      <c r="C1361" s="18"/>
      <c r="D1361" s="18"/>
      <c r="E1361" s="18"/>
      <c r="F1361" s="18"/>
      <c r="G1361" s="18"/>
      <c r="H1361" s="18"/>
      <c r="I1361" s="18"/>
      <c r="J1361" s="18"/>
      <c r="K1361" s="18"/>
      <c r="L1361" s="19"/>
    </row>
  </sheetData>
  <sheetProtection algorithmName="SHA-512" hashValue="prh0kGsyWLVYsddYmv/jlLVNUl0nhoUqD24vBsIUBgL+Rz3vXarvoetFMVNWvLHk4lcDq34IhYNUlkjSQvgoHQ==" saltValue="mxTT6wy1esUiXaRI8cy6LQ==" spinCount="100000" sheet="1" objects="1" scenarios="1"/>
  <autoFilter ref="A1:L1360" xr:uid="{C13A5471-D7B3-4777-94DE-5655AB1A23B7}"/>
  <phoneticPr fontId="7" type="noConversion"/>
  <conditionalFormatting sqref="E1361:E1048576 E1">
    <cfRule type="duplicateValues" dxfId="19" priority="1"/>
    <cfRule type="duplicateValues" dxfId="18" priority="2966"/>
    <cfRule type="duplicateValues" dxfId="17" priority="2970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1"/>
  <dimension ref="A1:G1361"/>
  <sheetViews>
    <sheetView zoomScale="110" zoomScaleNormal="110" zoomScaleSheetLayoutView="64" workbookViewId="0">
      <pane ySplit="1" topLeftCell="A2" activePane="bottomLeft" state="frozen"/>
      <selection activeCell="D28" sqref="D28"/>
      <selection pane="bottomLeft" activeCell="B16" sqref="B16"/>
    </sheetView>
  </sheetViews>
  <sheetFormatPr baseColWidth="10" defaultColWidth="28" defaultRowHeight="20.100000000000001" customHeight="1"/>
  <cols>
    <col min="1" max="1" width="27.69921875" style="27" customWidth="1" collapsed="1"/>
    <col min="2" max="2" width="39.8984375" style="27" customWidth="1" collapsed="1"/>
    <col min="3" max="3" width="48.59765625" style="27" bestFit="1" customWidth="1" collapsed="1"/>
    <col min="4" max="4" width="56.59765625" style="27" bestFit="1" customWidth="1"/>
    <col min="5" max="5" width="68.5" style="27" bestFit="1" customWidth="1"/>
    <col min="6" max="6" width="49.5" style="27" customWidth="1"/>
    <col min="7" max="16384" width="28" style="27"/>
  </cols>
  <sheetData>
    <row r="1" spans="1:6" ht="20.100000000000001" customHeight="1">
      <c r="A1" s="23" t="s">
        <v>8872</v>
      </c>
      <c r="B1" s="24" t="s">
        <v>8873</v>
      </c>
      <c r="C1" s="24" t="s">
        <v>8874</v>
      </c>
      <c r="D1" s="25" t="s">
        <v>8875</v>
      </c>
      <c r="E1" s="25" t="s">
        <v>8876</v>
      </c>
      <c r="F1" s="26" t="s">
        <v>8877</v>
      </c>
    </row>
    <row r="2" spans="1:6" ht="20.100000000000001" customHeight="1">
      <c r="A2" s="27" t="s">
        <v>61</v>
      </c>
      <c r="B2" s="27" t="s">
        <v>8878</v>
      </c>
      <c r="C2" s="27" t="s">
        <v>8879</v>
      </c>
      <c r="D2" s="16" t="s">
        <v>2732</v>
      </c>
      <c r="E2" s="27" t="s">
        <v>8880</v>
      </c>
      <c r="F2" s="18" t="s">
        <v>62</v>
      </c>
    </row>
    <row r="3" spans="1:6" ht="20.100000000000001" customHeight="1">
      <c r="A3" s="27" t="s">
        <v>68</v>
      </c>
      <c r="B3" s="27" t="s">
        <v>8881</v>
      </c>
      <c r="C3" s="27" t="s">
        <v>8882</v>
      </c>
      <c r="D3" s="18" t="s">
        <v>2836</v>
      </c>
      <c r="E3" s="27" t="s">
        <v>8883</v>
      </c>
      <c r="F3" s="18" t="s">
        <v>69</v>
      </c>
    </row>
    <row r="4" spans="1:6" ht="20.100000000000001" customHeight="1">
      <c r="A4" s="27" t="s">
        <v>76</v>
      </c>
      <c r="B4" s="27" t="s">
        <v>8884</v>
      </c>
      <c r="C4" s="27" t="s">
        <v>8885</v>
      </c>
      <c r="D4" s="18" t="s">
        <v>2846</v>
      </c>
      <c r="E4" s="27" t="s">
        <v>8886</v>
      </c>
      <c r="F4" s="18" t="s">
        <v>77</v>
      </c>
    </row>
    <row r="5" spans="1:6" ht="20.100000000000001" customHeight="1">
      <c r="A5" s="27" t="s">
        <v>84</v>
      </c>
      <c r="B5" s="27" t="s">
        <v>8887</v>
      </c>
      <c r="C5" s="27" t="s">
        <v>8888</v>
      </c>
      <c r="D5" s="18" t="s">
        <v>2850</v>
      </c>
      <c r="E5" s="27" t="s">
        <v>8889</v>
      </c>
      <c r="F5" s="18" t="s">
        <v>85</v>
      </c>
    </row>
    <row r="6" spans="1:6" ht="20.100000000000001" customHeight="1">
      <c r="A6" s="27" t="s">
        <v>253</v>
      </c>
      <c r="B6" s="27" t="s">
        <v>8890</v>
      </c>
      <c r="C6" s="27" t="s">
        <v>8891</v>
      </c>
      <c r="D6" s="18" t="s">
        <v>2855</v>
      </c>
      <c r="E6" s="27" t="s">
        <v>8892</v>
      </c>
      <c r="F6" s="18" t="s">
        <v>92</v>
      </c>
    </row>
    <row r="7" spans="1:6" ht="20.100000000000001" customHeight="1">
      <c r="A7" s="27" t="s">
        <v>91</v>
      </c>
      <c r="B7" s="27" t="s">
        <v>8893</v>
      </c>
      <c r="C7" s="27" t="s">
        <v>8894</v>
      </c>
      <c r="D7" s="18" t="s">
        <v>2860</v>
      </c>
      <c r="E7" s="27" t="s">
        <v>8895</v>
      </c>
      <c r="F7" s="18" t="s">
        <v>100</v>
      </c>
    </row>
    <row r="8" spans="1:6" ht="20.100000000000001" customHeight="1">
      <c r="A8" s="27" t="s">
        <v>99</v>
      </c>
      <c r="B8" s="27" t="s">
        <v>8896</v>
      </c>
      <c r="C8" s="27" t="s">
        <v>8897</v>
      </c>
      <c r="D8" s="18" t="s">
        <v>2864</v>
      </c>
      <c r="E8" s="27" t="s">
        <v>8898</v>
      </c>
      <c r="F8" s="18" t="s">
        <v>107</v>
      </c>
    </row>
    <row r="9" spans="1:6" ht="20.100000000000001" customHeight="1">
      <c r="A9" s="27" t="s">
        <v>106</v>
      </c>
      <c r="B9" s="27" t="s">
        <v>8899</v>
      </c>
      <c r="C9" s="27" t="s">
        <v>8900</v>
      </c>
      <c r="D9" s="18" t="s">
        <v>2868</v>
      </c>
      <c r="E9" s="27" t="s">
        <v>8901</v>
      </c>
      <c r="F9" s="18" t="s">
        <v>115</v>
      </c>
    </row>
    <row r="10" spans="1:6" ht="20.100000000000001" customHeight="1">
      <c r="A10" s="27" t="s">
        <v>114</v>
      </c>
      <c r="B10" s="27" t="s">
        <v>8902</v>
      </c>
      <c r="C10" s="27" t="s">
        <v>8903</v>
      </c>
      <c r="D10" s="18" t="s">
        <v>2873</v>
      </c>
      <c r="E10" s="27" t="s">
        <v>8904</v>
      </c>
      <c r="F10" s="18" t="s">
        <v>122</v>
      </c>
    </row>
    <row r="11" spans="1:6" ht="20.100000000000001" customHeight="1">
      <c r="A11" s="27" t="s">
        <v>121</v>
      </c>
      <c r="B11" s="27" t="s">
        <v>8905</v>
      </c>
      <c r="C11" s="27" t="s">
        <v>8906</v>
      </c>
      <c r="D11" s="18" t="s">
        <v>3717</v>
      </c>
      <c r="E11" s="27" t="s">
        <v>8907</v>
      </c>
      <c r="F11" s="18" t="s">
        <v>129</v>
      </c>
    </row>
    <row r="12" spans="1:6" ht="20.100000000000001" customHeight="1">
      <c r="A12" s="27" t="s">
        <v>294</v>
      </c>
      <c r="B12" s="27" t="s">
        <v>8908</v>
      </c>
      <c r="C12" s="27" t="s">
        <v>8909</v>
      </c>
      <c r="D12" s="18" t="s">
        <v>8910</v>
      </c>
      <c r="E12" s="27" t="s">
        <v>8911</v>
      </c>
      <c r="F12" s="18" t="s">
        <v>137</v>
      </c>
    </row>
    <row r="13" spans="1:6" ht="20.100000000000001" customHeight="1">
      <c r="A13" s="27" t="s">
        <v>128</v>
      </c>
      <c r="B13" s="27" t="s">
        <v>8912</v>
      </c>
      <c r="C13" s="27" t="s">
        <v>8913</v>
      </c>
      <c r="D13" s="18" t="s">
        <v>3738</v>
      </c>
      <c r="E13" s="27" t="s">
        <v>8914</v>
      </c>
      <c r="F13" s="18" t="s">
        <v>145</v>
      </c>
    </row>
    <row r="14" spans="1:6" ht="20.100000000000001" customHeight="1">
      <c r="A14" s="27" t="s">
        <v>136</v>
      </c>
      <c r="B14" s="27" t="s">
        <v>8915</v>
      </c>
      <c r="C14" s="27" t="s">
        <v>8916</v>
      </c>
      <c r="D14" s="18" t="s">
        <v>3746</v>
      </c>
      <c r="E14" s="27" t="s">
        <v>8917</v>
      </c>
      <c r="F14" s="18" t="s">
        <v>153</v>
      </c>
    </row>
    <row r="15" spans="1:6" ht="20.100000000000001" customHeight="1">
      <c r="A15" s="27" t="s">
        <v>583</v>
      </c>
      <c r="B15" s="27" t="s">
        <v>8918</v>
      </c>
      <c r="C15" s="27" t="s">
        <v>8919</v>
      </c>
      <c r="D15" s="18" t="s">
        <v>3754</v>
      </c>
      <c r="E15" s="27" t="s">
        <v>8920</v>
      </c>
      <c r="F15" s="18" t="s">
        <v>161</v>
      </c>
    </row>
    <row r="16" spans="1:6" ht="20.100000000000001" customHeight="1">
      <c r="A16" s="27" t="s">
        <v>632</v>
      </c>
      <c r="B16" s="27" t="s">
        <v>8921</v>
      </c>
      <c r="C16" s="27" t="s">
        <v>8922</v>
      </c>
      <c r="D16" s="18" t="s">
        <v>8923</v>
      </c>
      <c r="E16" s="27" t="s">
        <v>8924</v>
      </c>
      <c r="F16" s="18" t="s">
        <v>169</v>
      </c>
    </row>
    <row r="17" spans="1:6" ht="20.100000000000001" customHeight="1">
      <c r="A17" s="27" t="s">
        <v>1186</v>
      </c>
      <c r="B17" s="27" t="s">
        <v>8925</v>
      </c>
      <c r="C17" s="27" t="s">
        <v>8926</v>
      </c>
      <c r="D17" s="18" t="s">
        <v>3768</v>
      </c>
      <c r="E17" s="27" t="s">
        <v>8927</v>
      </c>
      <c r="F17" s="18" t="s">
        <v>176</v>
      </c>
    </row>
    <row r="18" spans="1:6" ht="20.100000000000001" customHeight="1">
      <c r="A18" s="27" t="s">
        <v>351</v>
      </c>
      <c r="B18" s="27" t="s">
        <v>8928</v>
      </c>
      <c r="C18" s="27" t="s">
        <v>8929</v>
      </c>
      <c r="D18" s="18" t="s">
        <v>3774</v>
      </c>
      <c r="E18" s="27" t="s">
        <v>8930</v>
      </c>
      <c r="F18" s="18" t="s">
        <v>183</v>
      </c>
    </row>
    <row r="19" spans="1:6" ht="20.100000000000001" customHeight="1">
      <c r="A19" s="27" t="s">
        <v>152</v>
      </c>
      <c r="C19" s="27" t="s">
        <v>8932</v>
      </c>
      <c r="D19" s="28" t="s">
        <v>3781</v>
      </c>
      <c r="E19" s="27" t="s">
        <v>8933</v>
      </c>
      <c r="F19" s="18" t="s">
        <v>191</v>
      </c>
    </row>
    <row r="20" spans="1:6" ht="20.100000000000001" customHeight="1">
      <c r="A20" s="27" t="s">
        <v>160</v>
      </c>
      <c r="C20" s="27" t="s">
        <v>8935</v>
      </c>
      <c r="D20" s="18" t="s">
        <v>3787</v>
      </c>
      <c r="E20" s="27" t="s">
        <v>8936</v>
      </c>
      <c r="F20" s="18" t="s">
        <v>198</v>
      </c>
    </row>
    <row r="21" spans="1:6" ht="20.100000000000001" customHeight="1">
      <c r="A21" s="27" t="s">
        <v>1153</v>
      </c>
      <c r="B21" s="48"/>
      <c r="C21" s="27" t="s">
        <v>8937</v>
      </c>
      <c r="D21" s="18" t="s">
        <v>3793</v>
      </c>
      <c r="E21" s="27" t="s">
        <v>8938</v>
      </c>
      <c r="F21" s="18" t="s">
        <v>206</v>
      </c>
    </row>
    <row r="22" spans="1:6" ht="20.100000000000001" customHeight="1">
      <c r="A22" s="27" t="s">
        <v>168</v>
      </c>
      <c r="B22" s="49"/>
      <c r="C22" s="27" t="s">
        <v>8939</v>
      </c>
      <c r="D22" s="18" t="s">
        <v>3800</v>
      </c>
      <c r="E22" s="27" t="s">
        <v>8940</v>
      </c>
      <c r="F22" s="18" t="s">
        <v>214</v>
      </c>
    </row>
    <row r="23" spans="1:6" ht="20.100000000000001" customHeight="1">
      <c r="A23" s="27" t="s">
        <v>175</v>
      </c>
      <c r="B23" s="48"/>
      <c r="C23" s="27" t="s">
        <v>8941</v>
      </c>
      <c r="D23" s="28" t="s">
        <v>3814</v>
      </c>
      <c r="E23" s="16" t="s">
        <v>8942</v>
      </c>
      <c r="F23" s="18" t="s">
        <v>222</v>
      </c>
    </row>
    <row r="24" spans="1:6" ht="20.100000000000001" customHeight="1">
      <c r="A24" s="27" t="s">
        <v>182</v>
      </c>
      <c r="B24" s="48"/>
      <c r="C24" s="27" t="s">
        <v>8943</v>
      </c>
      <c r="D24" s="18" t="s">
        <v>3807</v>
      </c>
      <c r="E24" s="28" t="s">
        <v>8944</v>
      </c>
      <c r="F24" s="18" t="s">
        <v>229</v>
      </c>
    </row>
    <row r="25" spans="1:6" ht="20.100000000000001" customHeight="1">
      <c r="A25" s="27" t="s">
        <v>190</v>
      </c>
      <c r="B25" s="48"/>
      <c r="C25" s="27" t="s">
        <v>8945</v>
      </c>
      <c r="D25" s="18" t="s">
        <v>3820</v>
      </c>
      <c r="E25" s="27" t="s">
        <v>8946</v>
      </c>
      <c r="F25" s="18" t="s">
        <v>238</v>
      </c>
    </row>
    <row r="26" spans="1:6" ht="20.100000000000001" customHeight="1">
      <c r="A26" s="27" t="s">
        <v>504</v>
      </c>
      <c r="B26" s="48"/>
      <c r="C26" s="27" t="s">
        <v>8947</v>
      </c>
      <c r="D26" s="18" t="s">
        <v>3827</v>
      </c>
      <c r="E26" s="27" t="s">
        <v>8948</v>
      </c>
      <c r="F26" s="18" t="s">
        <v>245</v>
      </c>
    </row>
    <row r="27" spans="1:6" ht="20.100000000000001" customHeight="1">
      <c r="A27" s="27" t="s">
        <v>197</v>
      </c>
      <c r="B27" s="48"/>
      <c r="C27" s="27" t="s">
        <v>8949</v>
      </c>
      <c r="D27" s="18" t="s">
        <v>3835</v>
      </c>
      <c r="E27" s="27" t="s">
        <v>8950</v>
      </c>
      <c r="F27" s="18" t="s">
        <v>254</v>
      </c>
    </row>
    <row r="28" spans="1:6" ht="20.100000000000001" customHeight="1">
      <c r="A28" s="27" t="s">
        <v>205</v>
      </c>
      <c r="B28" s="49"/>
      <c r="C28" s="27" t="s">
        <v>8951</v>
      </c>
      <c r="D28" s="18" t="s">
        <v>3842</v>
      </c>
      <c r="E28" s="27" t="s">
        <v>8952</v>
      </c>
      <c r="F28" s="18" t="s">
        <v>264</v>
      </c>
    </row>
    <row r="29" spans="1:6" ht="20.100000000000001" customHeight="1">
      <c r="A29" s="27" t="s">
        <v>213</v>
      </c>
      <c r="B29" s="48"/>
      <c r="C29" s="27" t="s">
        <v>8953</v>
      </c>
      <c r="D29" s="18" t="s">
        <v>4173</v>
      </c>
      <c r="E29" s="18" t="s">
        <v>8954</v>
      </c>
      <c r="F29" s="18" t="s">
        <v>267</v>
      </c>
    </row>
    <row r="30" spans="1:6" ht="20.100000000000001" customHeight="1">
      <c r="A30" s="27" t="s">
        <v>221</v>
      </c>
      <c r="B30" s="48"/>
      <c r="C30" s="27" t="s">
        <v>8955</v>
      </c>
      <c r="D30" s="18" t="s">
        <v>4178</v>
      </c>
      <c r="E30" s="18" t="s">
        <v>8956</v>
      </c>
      <c r="F30" s="18" t="s">
        <v>273</v>
      </c>
    </row>
    <row r="31" spans="1:6" ht="20.100000000000001" customHeight="1">
      <c r="A31" s="27" t="s">
        <v>616</v>
      </c>
      <c r="B31" s="48"/>
      <c r="C31" s="27" t="s">
        <v>8957</v>
      </c>
      <c r="D31" s="18" t="s">
        <v>4191</v>
      </c>
      <c r="E31" s="18" t="s">
        <v>8959</v>
      </c>
      <c r="F31" s="18" t="s">
        <v>279</v>
      </c>
    </row>
    <row r="32" spans="1:6" ht="20.100000000000001" customHeight="1">
      <c r="A32" s="27" t="s">
        <v>144</v>
      </c>
      <c r="B32" s="48"/>
      <c r="C32" s="27" t="s">
        <v>8960</v>
      </c>
      <c r="D32" s="18" t="s">
        <v>8958</v>
      </c>
      <c r="E32" s="18" t="s">
        <v>8961</v>
      </c>
      <c r="F32" s="18" t="s">
        <v>287</v>
      </c>
    </row>
    <row r="33" spans="1:7" ht="20.100000000000001" customHeight="1">
      <c r="A33" s="27" t="s">
        <v>228</v>
      </c>
      <c r="B33" s="48"/>
      <c r="C33" s="27" t="s">
        <v>8962</v>
      </c>
      <c r="D33" s="18" t="s">
        <v>4197</v>
      </c>
      <c r="E33" s="18" t="s">
        <v>8963</v>
      </c>
      <c r="F33" s="18" t="s">
        <v>295</v>
      </c>
    </row>
    <row r="34" spans="1:7" ht="20.100000000000001" customHeight="1">
      <c r="B34" s="49"/>
      <c r="C34" s="27" t="s">
        <v>8964</v>
      </c>
      <c r="D34" s="18" t="s">
        <v>4207</v>
      </c>
      <c r="E34" s="18" t="s">
        <v>8965</v>
      </c>
      <c r="F34" s="18" t="s">
        <v>302</v>
      </c>
    </row>
    <row r="35" spans="1:7" ht="20.100000000000001" customHeight="1">
      <c r="B35" s="48"/>
      <c r="C35" s="27" t="s">
        <v>8966</v>
      </c>
      <c r="D35" s="18" t="s">
        <v>4213</v>
      </c>
      <c r="E35" s="18" t="s">
        <v>8967</v>
      </c>
      <c r="F35" s="18" t="s">
        <v>309</v>
      </c>
    </row>
    <row r="36" spans="1:7" ht="20.100000000000001" customHeight="1">
      <c r="B36" s="48"/>
      <c r="C36" s="27" t="s">
        <v>8968</v>
      </c>
      <c r="D36" s="18" t="s">
        <v>4218</v>
      </c>
      <c r="E36" s="18" t="s">
        <v>8969</v>
      </c>
      <c r="F36" s="18" t="s">
        <v>315</v>
      </c>
    </row>
    <row r="37" spans="1:7" ht="20.100000000000001" customHeight="1">
      <c r="B37" s="48"/>
      <c r="C37" s="27" t="s">
        <v>8970</v>
      </c>
      <c r="D37" s="18" t="s">
        <v>4223</v>
      </c>
      <c r="E37" s="18" t="s">
        <v>8971</v>
      </c>
      <c r="F37" s="18" t="s">
        <v>322</v>
      </c>
    </row>
    <row r="38" spans="1:7" ht="20.100000000000001" customHeight="1">
      <c r="A38" s="27" t="s">
        <v>350</v>
      </c>
      <c r="C38" s="27" t="s">
        <v>8972</v>
      </c>
      <c r="D38" s="18" t="s">
        <v>4228</v>
      </c>
      <c r="E38" s="18" t="s">
        <v>8973</v>
      </c>
      <c r="F38" s="18" t="s">
        <v>328</v>
      </c>
    </row>
    <row r="39" spans="1:7" ht="20.100000000000001" customHeight="1">
      <c r="A39" s="27" t="s">
        <v>350</v>
      </c>
      <c r="B39" s="48"/>
      <c r="C39" s="27" t="s">
        <v>8974</v>
      </c>
      <c r="D39" s="18" t="s">
        <v>4233</v>
      </c>
      <c r="E39" s="18" t="s">
        <v>8975</v>
      </c>
      <c r="F39" s="18" t="s">
        <v>336</v>
      </c>
    </row>
    <row r="40" spans="1:7" ht="20.100000000000001" customHeight="1">
      <c r="A40" s="27" t="s">
        <v>350</v>
      </c>
      <c r="B40" s="49"/>
      <c r="C40" s="27" t="s">
        <v>8976</v>
      </c>
      <c r="D40" s="18" t="s">
        <v>4238</v>
      </c>
      <c r="E40" s="18" t="s">
        <v>8977</v>
      </c>
      <c r="F40" s="18" t="s">
        <v>344</v>
      </c>
    </row>
    <row r="41" spans="1:7" ht="20.100000000000001" customHeight="1">
      <c r="A41" s="27" t="s">
        <v>350</v>
      </c>
      <c r="B41" s="48"/>
      <c r="C41" s="27" t="s">
        <v>8978</v>
      </c>
      <c r="D41" s="18" t="s">
        <v>4243</v>
      </c>
      <c r="E41" s="18" t="s">
        <v>8979</v>
      </c>
      <c r="F41" s="18" t="s">
        <v>352</v>
      </c>
    </row>
    <row r="42" spans="1:7" ht="20.100000000000001" customHeight="1">
      <c r="A42" s="27" t="s">
        <v>350</v>
      </c>
      <c r="B42" s="48"/>
      <c r="C42" s="27" t="s">
        <v>8980</v>
      </c>
      <c r="D42" s="18" t="s">
        <v>4248</v>
      </c>
      <c r="E42" s="18" t="s">
        <v>8981</v>
      </c>
      <c r="F42" s="18" t="s">
        <v>359</v>
      </c>
    </row>
    <row r="43" spans="1:7" ht="20.100000000000001" customHeight="1">
      <c r="A43" s="27" t="s">
        <v>350</v>
      </c>
      <c r="B43" s="48"/>
      <c r="C43" s="27" t="s">
        <v>8982</v>
      </c>
      <c r="D43" s="18" t="s">
        <v>4253</v>
      </c>
      <c r="E43" s="18" t="s">
        <v>8983</v>
      </c>
      <c r="F43" s="18" t="s">
        <v>365</v>
      </c>
    </row>
    <row r="44" spans="1:7" ht="20.100000000000001" customHeight="1">
      <c r="A44" s="27" t="s">
        <v>350</v>
      </c>
      <c r="B44" s="48"/>
      <c r="C44" s="27" t="s">
        <v>8984</v>
      </c>
      <c r="D44" s="18" t="s">
        <v>4259</v>
      </c>
      <c r="E44" s="18" t="s">
        <v>8986</v>
      </c>
      <c r="F44" s="18" t="s">
        <v>370</v>
      </c>
    </row>
    <row r="45" spans="1:7" ht="20.100000000000001" customHeight="1">
      <c r="A45" s="27" t="s">
        <v>350</v>
      </c>
      <c r="B45" s="48"/>
      <c r="C45" s="27" t="s">
        <v>8987</v>
      </c>
      <c r="D45" s="18" t="s">
        <v>8985</v>
      </c>
      <c r="E45" s="18" t="s">
        <v>8988</v>
      </c>
      <c r="F45" s="18" t="s">
        <v>379</v>
      </c>
    </row>
    <row r="46" spans="1:7" ht="20.100000000000001" customHeight="1">
      <c r="A46" s="27" t="s">
        <v>350</v>
      </c>
      <c r="B46" s="48"/>
      <c r="C46" s="27" t="s">
        <v>8989</v>
      </c>
      <c r="D46" s="18" t="s">
        <v>4270</v>
      </c>
      <c r="E46" s="18" t="s">
        <v>8990</v>
      </c>
      <c r="F46" s="18" t="s">
        <v>387</v>
      </c>
    </row>
    <row r="47" spans="1:7" ht="20.100000000000001" customHeight="1">
      <c r="A47" s="27" t="s">
        <v>350</v>
      </c>
      <c r="B47" s="48"/>
      <c r="C47" s="27" t="s">
        <v>8991</v>
      </c>
      <c r="D47" s="18" t="s">
        <v>4282</v>
      </c>
      <c r="E47" s="18" t="s">
        <v>8992</v>
      </c>
      <c r="F47" s="18" t="s">
        <v>395</v>
      </c>
    </row>
    <row r="48" spans="1:7" ht="20.100000000000001" customHeight="1">
      <c r="A48" s="27" t="s">
        <v>350</v>
      </c>
      <c r="B48" s="48"/>
      <c r="C48" s="27" t="s">
        <v>8993</v>
      </c>
      <c r="D48" s="28" t="s">
        <v>4276</v>
      </c>
      <c r="E48" s="18" t="s">
        <v>8994</v>
      </c>
      <c r="F48" s="18" t="s">
        <v>403</v>
      </c>
      <c r="G48" s="16"/>
    </row>
    <row r="49" spans="1:7" ht="20.100000000000001" customHeight="1">
      <c r="A49" s="27" t="s">
        <v>350</v>
      </c>
      <c r="B49" s="48"/>
      <c r="C49" s="27" t="s">
        <v>8995</v>
      </c>
      <c r="D49" s="28" t="s">
        <v>4287</v>
      </c>
      <c r="E49" s="28" t="s">
        <v>8996</v>
      </c>
      <c r="F49" s="18" t="s">
        <v>411</v>
      </c>
      <c r="G49" s="16"/>
    </row>
    <row r="50" spans="1:7" ht="20.100000000000001" customHeight="1">
      <c r="A50" s="27" t="s">
        <v>350</v>
      </c>
      <c r="B50" s="48"/>
      <c r="C50" s="27" t="s">
        <v>8997</v>
      </c>
      <c r="D50" s="28" t="s">
        <v>4293</v>
      </c>
      <c r="E50" s="18" t="s">
        <v>8998</v>
      </c>
      <c r="F50" s="18" t="s">
        <v>419</v>
      </c>
      <c r="G50" s="16"/>
    </row>
    <row r="51" spans="1:7" ht="20.100000000000001" customHeight="1">
      <c r="A51" s="27" t="s">
        <v>350</v>
      </c>
      <c r="B51" s="48"/>
      <c r="C51" s="27" t="s">
        <v>8999</v>
      </c>
      <c r="D51" s="18" t="s">
        <v>4298</v>
      </c>
      <c r="E51" s="28" t="s">
        <v>9000</v>
      </c>
      <c r="F51" s="18" t="s">
        <v>427</v>
      </c>
      <c r="G51" s="16"/>
    </row>
    <row r="52" spans="1:7" ht="20.100000000000001" customHeight="1">
      <c r="A52" s="27" t="s">
        <v>350</v>
      </c>
      <c r="B52" s="48"/>
      <c r="C52" s="27" t="s">
        <v>9001</v>
      </c>
      <c r="D52" s="28" t="s">
        <v>4304</v>
      </c>
      <c r="E52" s="18" t="s">
        <v>9002</v>
      </c>
      <c r="F52" s="18" t="s">
        <v>434</v>
      </c>
    </row>
    <row r="53" spans="1:7" ht="20.100000000000001" customHeight="1">
      <c r="A53" s="27" t="s">
        <v>350</v>
      </c>
      <c r="B53" s="48"/>
      <c r="C53" s="48" t="s">
        <v>9003</v>
      </c>
      <c r="D53" s="18" t="s">
        <v>4310</v>
      </c>
      <c r="E53" s="18" t="s">
        <v>9004</v>
      </c>
      <c r="F53" s="18" t="s">
        <v>442</v>
      </c>
    </row>
    <row r="54" spans="1:7" ht="20.100000000000001" customHeight="1">
      <c r="A54" s="27" t="s">
        <v>350</v>
      </c>
      <c r="B54" s="48"/>
      <c r="C54" s="27" t="s">
        <v>9005</v>
      </c>
      <c r="D54" s="18" t="s">
        <v>4315</v>
      </c>
      <c r="E54" s="18" t="s">
        <v>9006</v>
      </c>
      <c r="F54" s="18" t="s">
        <v>449</v>
      </c>
    </row>
    <row r="55" spans="1:7" ht="20.100000000000001" customHeight="1">
      <c r="A55" s="27" t="s">
        <v>350</v>
      </c>
      <c r="B55" s="48"/>
      <c r="C55" s="27" t="s">
        <v>9007</v>
      </c>
      <c r="D55" s="18" t="s">
        <v>4320</v>
      </c>
      <c r="E55" s="18" t="s">
        <v>9008</v>
      </c>
      <c r="F55" s="18" t="s">
        <v>457</v>
      </c>
    </row>
    <row r="56" spans="1:7" ht="20.100000000000001" customHeight="1">
      <c r="A56" s="27" t="s">
        <v>350</v>
      </c>
      <c r="B56" s="49"/>
      <c r="C56" s="27" t="s">
        <v>9009</v>
      </c>
      <c r="D56" s="18" t="s">
        <v>4326</v>
      </c>
      <c r="E56" s="18" t="s">
        <v>9010</v>
      </c>
      <c r="F56" s="18" t="s">
        <v>465</v>
      </c>
    </row>
    <row r="57" spans="1:7" ht="20.100000000000001" customHeight="1">
      <c r="A57" s="27" t="s">
        <v>350</v>
      </c>
      <c r="B57" s="48"/>
      <c r="C57" s="27" t="s">
        <v>9011</v>
      </c>
      <c r="D57" s="18" t="s">
        <v>4331</v>
      </c>
      <c r="E57" s="18" t="s">
        <v>9013</v>
      </c>
      <c r="F57" s="18" t="s">
        <v>472</v>
      </c>
    </row>
    <row r="58" spans="1:7" ht="20.100000000000001" customHeight="1">
      <c r="A58" s="27" t="s">
        <v>350</v>
      </c>
      <c r="B58" s="48"/>
      <c r="C58" s="27" t="s">
        <v>9014</v>
      </c>
      <c r="D58" s="18" t="s">
        <v>9012</v>
      </c>
      <c r="E58" s="18" t="s">
        <v>9015</v>
      </c>
      <c r="F58" s="18" t="s">
        <v>480</v>
      </c>
    </row>
    <row r="59" spans="1:7" ht="20.100000000000001" customHeight="1">
      <c r="A59" s="27" t="s">
        <v>350</v>
      </c>
      <c r="B59" s="48"/>
      <c r="C59" s="27" t="s">
        <v>9016</v>
      </c>
      <c r="D59" s="28" t="s">
        <v>4343</v>
      </c>
      <c r="E59" s="18" t="s">
        <v>9018</v>
      </c>
      <c r="F59" s="18" t="s">
        <v>488</v>
      </c>
    </row>
    <row r="60" spans="1:7" ht="20.100000000000001" customHeight="1">
      <c r="A60" s="27" t="s">
        <v>350</v>
      </c>
      <c r="B60" s="48"/>
      <c r="C60" s="27" t="s">
        <v>9019</v>
      </c>
      <c r="D60" s="18" t="s">
        <v>9017</v>
      </c>
      <c r="E60" s="18" t="s">
        <v>9020</v>
      </c>
      <c r="F60" s="18" t="s">
        <v>496</v>
      </c>
    </row>
    <row r="61" spans="1:7" ht="20.100000000000001" customHeight="1">
      <c r="A61" s="27" t="s">
        <v>350</v>
      </c>
      <c r="B61" s="48"/>
      <c r="C61" s="27" t="s">
        <v>9021</v>
      </c>
      <c r="D61" s="18" t="s">
        <v>4354</v>
      </c>
      <c r="E61" s="18" t="s">
        <v>9022</v>
      </c>
      <c r="F61" s="18" t="s">
        <v>505</v>
      </c>
    </row>
    <row r="62" spans="1:7" ht="20.100000000000001" customHeight="1">
      <c r="A62" s="27" t="s">
        <v>350</v>
      </c>
      <c r="C62" s="27" t="s">
        <v>9023</v>
      </c>
      <c r="D62" s="18" t="s">
        <v>4359</v>
      </c>
      <c r="E62" s="18" t="s">
        <v>9024</v>
      </c>
      <c r="F62" s="18" t="s">
        <v>513</v>
      </c>
    </row>
    <row r="63" spans="1:7" ht="20.100000000000001" customHeight="1">
      <c r="A63" s="27" t="s">
        <v>350</v>
      </c>
      <c r="B63" s="48"/>
      <c r="C63" s="27" t="s">
        <v>9025</v>
      </c>
      <c r="D63" s="28" t="s">
        <v>4364</v>
      </c>
      <c r="E63" s="18" t="s">
        <v>9026</v>
      </c>
      <c r="F63" s="18" t="s">
        <v>521</v>
      </c>
    </row>
    <row r="64" spans="1:7" ht="20.100000000000001" customHeight="1">
      <c r="A64" s="27" t="s">
        <v>350</v>
      </c>
      <c r="B64" s="48"/>
      <c r="C64" s="27" t="s">
        <v>9027</v>
      </c>
      <c r="D64" s="18" t="s">
        <v>4369</v>
      </c>
      <c r="E64" s="28" t="s">
        <v>9028</v>
      </c>
      <c r="F64" s="18" t="s">
        <v>529</v>
      </c>
    </row>
    <row r="65" spans="1:6" ht="20.100000000000001" customHeight="1">
      <c r="A65" s="27" t="s">
        <v>350</v>
      </c>
      <c r="B65" s="48"/>
      <c r="C65" s="27" t="s">
        <v>9029</v>
      </c>
      <c r="D65" s="18" t="s">
        <v>4374</v>
      </c>
      <c r="E65" s="18" t="s">
        <v>9031</v>
      </c>
      <c r="F65" s="18" t="s">
        <v>537</v>
      </c>
    </row>
    <row r="66" spans="1:6" ht="20.100000000000001" customHeight="1">
      <c r="A66" s="27" t="s">
        <v>350</v>
      </c>
      <c r="B66" s="48"/>
      <c r="C66" s="27" t="s">
        <v>9032</v>
      </c>
      <c r="D66" s="18" t="s">
        <v>9030</v>
      </c>
      <c r="E66" s="18" t="s">
        <v>9033</v>
      </c>
      <c r="F66" s="18" t="s">
        <v>545</v>
      </c>
    </row>
    <row r="67" spans="1:6" ht="20.100000000000001" customHeight="1">
      <c r="A67" s="27" t="s">
        <v>350</v>
      </c>
      <c r="B67" s="48"/>
      <c r="C67" s="27" t="s">
        <v>9034</v>
      </c>
      <c r="D67" s="18" t="s">
        <v>4382</v>
      </c>
      <c r="E67" s="18" t="s">
        <v>9035</v>
      </c>
      <c r="F67" s="18" t="s">
        <v>553</v>
      </c>
    </row>
    <row r="68" spans="1:6" ht="20.100000000000001" customHeight="1">
      <c r="A68" s="27" t="s">
        <v>350</v>
      </c>
      <c r="B68" s="48"/>
      <c r="C68" s="27" t="s">
        <v>9036</v>
      </c>
      <c r="D68" s="18" t="s">
        <v>10441</v>
      </c>
      <c r="E68" s="18" t="s">
        <v>9037</v>
      </c>
      <c r="F68" s="18" t="s">
        <v>560</v>
      </c>
    </row>
    <row r="69" spans="1:6" ht="20.100000000000001" customHeight="1">
      <c r="A69" s="27" t="s">
        <v>350</v>
      </c>
      <c r="B69" s="48"/>
      <c r="C69" s="27" t="s">
        <v>9038</v>
      </c>
      <c r="D69" s="18" t="s">
        <v>8559</v>
      </c>
      <c r="E69" s="18" t="s">
        <v>9039</v>
      </c>
      <c r="F69" s="18" t="s">
        <v>568</v>
      </c>
    </row>
    <row r="70" spans="1:6" ht="20.100000000000001" customHeight="1">
      <c r="A70" s="27" t="s">
        <v>350</v>
      </c>
      <c r="B70" s="48"/>
      <c r="C70" s="27" t="s">
        <v>9040</v>
      </c>
      <c r="E70" s="28" t="s">
        <v>9041</v>
      </c>
      <c r="F70" s="18" t="s">
        <v>575</v>
      </c>
    </row>
    <row r="71" spans="1:6" ht="20.100000000000001" customHeight="1">
      <c r="A71" s="27" t="s">
        <v>350</v>
      </c>
      <c r="B71" s="48"/>
      <c r="C71" s="27" t="s">
        <v>9042</v>
      </c>
      <c r="E71" s="18" t="s">
        <v>9043</v>
      </c>
      <c r="F71" s="18" t="s">
        <v>584</v>
      </c>
    </row>
    <row r="72" spans="1:6" ht="20.100000000000001" customHeight="1">
      <c r="A72" s="27" t="s">
        <v>350</v>
      </c>
      <c r="B72" s="48"/>
      <c r="C72" s="27" t="s">
        <v>9044</v>
      </c>
      <c r="E72" s="18" t="s">
        <v>9045</v>
      </c>
      <c r="F72" s="18" t="s">
        <v>592</v>
      </c>
    </row>
    <row r="73" spans="1:6" ht="20.100000000000001" customHeight="1">
      <c r="A73" s="27" t="s">
        <v>350</v>
      </c>
      <c r="B73" s="48"/>
      <c r="C73" s="27" t="s">
        <v>9046</v>
      </c>
      <c r="D73" s="28"/>
      <c r="E73" s="18" t="s">
        <v>9047</v>
      </c>
      <c r="F73" s="18" t="s">
        <v>600</v>
      </c>
    </row>
    <row r="74" spans="1:6" ht="20.100000000000001" customHeight="1">
      <c r="A74" s="27" t="s">
        <v>350</v>
      </c>
      <c r="B74" s="48"/>
      <c r="C74" s="27" t="s">
        <v>9048</v>
      </c>
      <c r="D74" s="28"/>
      <c r="E74" s="18" t="s">
        <v>9049</v>
      </c>
      <c r="F74" s="18" t="s">
        <v>608</v>
      </c>
    </row>
    <row r="75" spans="1:6" ht="20.100000000000001" customHeight="1">
      <c r="A75" s="27" t="s">
        <v>350</v>
      </c>
      <c r="B75" s="48"/>
      <c r="C75" s="27" t="s">
        <v>9050</v>
      </c>
      <c r="D75" s="28"/>
      <c r="E75" s="18" t="s">
        <v>9051</v>
      </c>
      <c r="F75" s="18" t="s">
        <v>617</v>
      </c>
    </row>
    <row r="76" spans="1:6" ht="20.100000000000001" customHeight="1">
      <c r="A76" s="27" t="s">
        <v>350</v>
      </c>
      <c r="B76" s="48"/>
      <c r="C76" s="27" t="s">
        <v>9052</v>
      </c>
      <c r="D76" s="28"/>
      <c r="E76" s="18" t="s">
        <v>9053</v>
      </c>
      <c r="F76" s="18" t="s">
        <v>624</v>
      </c>
    </row>
    <row r="77" spans="1:6" ht="20.100000000000001" customHeight="1">
      <c r="A77" s="27" t="s">
        <v>350</v>
      </c>
      <c r="B77" s="48"/>
      <c r="C77" s="27" t="s">
        <v>9054</v>
      </c>
      <c r="D77" s="18"/>
      <c r="E77" s="18" t="s">
        <v>9055</v>
      </c>
      <c r="F77" s="18" t="s">
        <v>633</v>
      </c>
    </row>
    <row r="78" spans="1:6" ht="20.100000000000001" customHeight="1">
      <c r="A78" s="27" t="s">
        <v>350</v>
      </c>
      <c r="B78" s="48"/>
      <c r="C78" s="27" t="s">
        <v>9056</v>
      </c>
      <c r="D78" s="18"/>
      <c r="E78" s="18" t="s">
        <v>9057</v>
      </c>
      <c r="F78" s="18" t="s">
        <v>641</v>
      </c>
    </row>
    <row r="79" spans="1:6" ht="20.100000000000001" customHeight="1">
      <c r="A79" s="27" t="s">
        <v>350</v>
      </c>
      <c r="B79" s="48"/>
      <c r="C79" s="27" t="s">
        <v>9058</v>
      </c>
      <c r="D79" s="18"/>
      <c r="E79" s="18" t="s">
        <v>9059</v>
      </c>
      <c r="F79" s="18" t="s">
        <v>648</v>
      </c>
    </row>
    <row r="80" spans="1:6" ht="20.100000000000001" customHeight="1">
      <c r="A80" s="27" t="s">
        <v>350</v>
      </c>
      <c r="B80" s="48"/>
      <c r="C80" s="27" t="s">
        <v>9060</v>
      </c>
      <c r="D80" s="18"/>
      <c r="E80" s="18" t="s">
        <v>9061</v>
      </c>
      <c r="F80" s="18" t="s">
        <v>656</v>
      </c>
    </row>
    <row r="81" spans="1:6" ht="20.100000000000001" customHeight="1">
      <c r="A81" s="27" t="s">
        <v>350</v>
      </c>
      <c r="B81" s="48"/>
      <c r="C81" s="27" t="s">
        <v>9062</v>
      </c>
      <c r="D81" s="18"/>
      <c r="E81" s="18" t="s">
        <v>9063</v>
      </c>
      <c r="F81" s="18" t="s">
        <v>664</v>
      </c>
    </row>
    <row r="82" spans="1:6" ht="20.100000000000001" customHeight="1">
      <c r="A82" s="27" t="s">
        <v>350</v>
      </c>
      <c r="B82" s="48"/>
      <c r="C82" s="27" t="s">
        <v>9064</v>
      </c>
      <c r="D82" s="18"/>
      <c r="E82" s="18" t="s">
        <v>9065</v>
      </c>
      <c r="F82" s="18" t="s">
        <v>672</v>
      </c>
    </row>
    <row r="83" spans="1:6" ht="20.100000000000001" customHeight="1">
      <c r="A83" s="27" t="s">
        <v>350</v>
      </c>
      <c r="B83" s="48"/>
      <c r="C83" s="27" t="s">
        <v>9066</v>
      </c>
      <c r="D83" s="18"/>
      <c r="E83" s="18" t="s">
        <v>9067</v>
      </c>
      <c r="F83" s="18" t="s">
        <v>680</v>
      </c>
    </row>
    <row r="84" spans="1:6" ht="20.100000000000001" customHeight="1">
      <c r="A84" s="27" t="s">
        <v>350</v>
      </c>
      <c r="B84" s="48"/>
      <c r="C84" s="27" t="s">
        <v>9068</v>
      </c>
      <c r="D84" s="18"/>
      <c r="E84" s="18" t="s">
        <v>9069</v>
      </c>
      <c r="F84" s="18" t="s">
        <v>688</v>
      </c>
    </row>
    <row r="85" spans="1:6" ht="20.100000000000001" customHeight="1">
      <c r="A85" s="27" t="s">
        <v>350</v>
      </c>
      <c r="B85" s="48"/>
      <c r="C85" s="27" t="s">
        <v>9070</v>
      </c>
      <c r="D85" s="18"/>
      <c r="E85" s="18" t="s">
        <v>9071</v>
      </c>
      <c r="F85" s="18" t="s">
        <v>696</v>
      </c>
    </row>
    <row r="86" spans="1:6" ht="20.100000000000001" customHeight="1">
      <c r="A86" s="27" t="s">
        <v>350</v>
      </c>
      <c r="B86" s="48"/>
      <c r="C86" s="27" t="s">
        <v>9072</v>
      </c>
      <c r="D86" s="18"/>
      <c r="E86" s="18" t="s">
        <v>9073</v>
      </c>
      <c r="F86" s="18" t="s">
        <v>704</v>
      </c>
    </row>
    <row r="87" spans="1:6" ht="20.100000000000001" customHeight="1">
      <c r="A87" s="27" t="s">
        <v>350</v>
      </c>
      <c r="B87" s="48"/>
      <c r="C87" s="27" t="s">
        <v>9074</v>
      </c>
      <c r="D87" s="18"/>
      <c r="E87" s="18" t="s">
        <v>9075</v>
      </c>
      <c r="F87" s="18" t="s">
        <v>712</v>
      </c>
    </row>
    <row r="88" spans="1:6" ht="20.100000000000001" customHeight="1">
      <c r="A88" s="27" t="s">
        <v>350</v>
      </c>
      <c r="B88" s="48"/>
      <c r="C88" s="27" t="s">
        <v>9076</v>
      </c>
      <c r="D88" s="18"/>
      <c r="E88" s="18" t="s">
        <v>9077</v>
      </c>
      <c r="F88" s="18" t="s">
        <v>720</v>
      </c>
    </row>
    <row r="89" spans="1:6" ht="20.100000000000001" customHeight="1">
      <c r="A89" s="27" t="s">
        <v>350</v>
      </c>
      <c r="B89" s="48"/>
      <c r="C89" s="27" t="s">
        <v>9078</v>
      </c>
      <c r="D89" s="18"/>
      <c r="E89" s="18" t="s">
        <v>9079</v>
      </c>
      <c r="F89" s="18" t="s">
        <v>728</v>
      </c>
    </row>
    <row r="90" spans="1:6" ht="20.100000000000001" customHeight="1">
      <c r="A90" s="27" t="s">
        <v>350</v>
      </c>
      <c r="B90" s="48"/>
      <c r="C90" s="27" t="s">
        <v>9080</v>
      </c>
      <c r="D90" s="18"/>
      <c r="E90" s="18" t="s">
        <v>9081</v>
      </c>
      <c r="F90" s="18" t="s">
        <v>736</v>
      </c>
    </row>
    <row r="91" spans="1:6" ht="20.100000000000001" customHeight="1">
      <c r="A91" s="27" t="s">
        <v>350</v>
      </c>
      <c r="B91" s="48"/>
      <c r="C91" s="27" t="s">
        <v>9082</v>
      </c>
      <c r="D91" s="18"/>
      <c r="E91" s="18" t="s">
        <v>9083</v>
      </c>
      <c r="F91" s="18" t="s">
        <v>744</v>
      </c>
    </row>
    <row r="92" spans="1:6" ht="20.100000000000001" customHeight="1">
      <c r="A92" s="27" t="s">
        <v>350</v>
      </c>
      <c r="B92" s="48"/>
      <c r="C92" s="27" t="s">
        <v>9084</v>
      </c>
      <c r="D92" s="18"/>
      <c r="E92" s="18" t="s">
        <v>9085</v>
      </c>
      <c r="F92" s="18" t="s">
        <v>752</v>
      </c>
    </row>
    <row r="93" spans="1:6" ht="20.100000000000001" customHeight="1">
      <c r="A93" s="27" t="s">
        <v>350</v>
      </c>
      <c r="B93" s="48"/>
      <c r="C93" s="27" t="s">
        <v>9086</v>
      </c>
      <c r="D93" s="18"/>
      <c r="E93" s="18" t="s">
        <v>9087</v>
      </c>
      <c r="F93" s="18" t="s">
        <v>760</v>
      </c>
    </row>
    <row r="94" spans="1:6" ht="20.100000000000001" customHeight="1">
      <c r="A94" s="27" t="s">
        <v>350</v>
      </c>
      <c r="B94" s="48"/>
      <c r="C94" s="27" t="s">
        <v>9088</v>
      </c>
      <c r="D94" s="18"/>
      <c r="E94" s="18" t="s">
        <v>9089</v>
      </c>
      <c r="F94" s="18" t="s">
        <v>768</v>
      </c>
    </row>
    <row r="95" spans="1:6" ht="20.100000000000001" customHeight="1">
      <c r="A95" s="27" t="s">
        <v>350</v>
      </c>
      <c r="B95" s="48"/>
      <c r="C95" s="27" t="s">
        <v>9090</v>
      </c>
      <c r="D95" s="18"/>
      <c r="E95" s="18" t="s">
        <v>9091</v>
      </c>
      <c r="F95" s="18" t="s">
        <v>776</v>
      </c>
    </row>
    <row r="96" spans="1:6" ht="20.100000000000001" customHeight="1">
      <c r="A96" s="27" t="s">
        <v>350</v>
      </c>
      <c r="B96" s="48"/>
      <c r="C96" s="27" t="s">
        <v>9092</v>
      </c>
      <c r="D96" s="18"/>
      <c r="E96" s="18" t="s">
        <v>9093</v>
      </c>
      <c r="F96" s="18" t="s">
        <v>784</v>
      </c>
    </row>
    <row r="97" spans="1:6" ht="20.100000000000001" customHeight="1">
      <c r="A97" s="27" t="s">
        <v>350</v>
      </c>
      <c r="B97" s="48"/>
      <c r="C97" s="27" t="s">
        <v>9094</v>
      </c>
      <c r="D97" s="18"/>
      <c r="E97" s="18" t="s">
        <v>9095</v>
      </c>
      <c r="F97" s="18" t="s">
        <v>791</v>
      </c>
    </row>
    <row r="98" spans="1:6" ht="20.100000000000001" customHeight="1">
      <c r="A98" s="27" t="s">
        <v>350</v>
      </c>
      <c r="B98" s="48"/>
      <c r="C98" s="27" t="s">
        <v>9096</v>
      </c>
      <c r="D98" s="18"/>
      <c r="E98" s="18" t="s">
        <v>9097</v>
      </c>
      <c r="F98" s="18" t="s">
        <v>798</v>
      </c>
    </row>
    <row r="99" spans="1:6" ht="20.100000000000001" customHeight="1">
      <c r="A99" s="27" t="s">
        <v>350</v>
      </c>
      <c r="B99" s="48"/>
      <c r="C99" s="27" t="s">
        <v>9098</v>
      </c>
      <c r="D99" s="16"/>
      <c r="E99" s="18" t="s">
        <v>9099</v>
      </c>
      <c r="F99" s="18" t="s">
        <v>806</v>
      </c>
    </row>
    <row r="100" spans="1:6" ht="20.100000000000001" customHeight="1">
      <c r="A100" s="27" t="s">
        <v>350</v>
      </c>
      <c r="B100" s="48"/>
      <c r="C100" s="27" t="s">
        <v>9100</v>
      </c>
      <c r="D100" s="16"/>
      <c r="E100" s="18" t="s">
        <v>9101</v>
      </c>
      <c r="F100" s="18" t="s">
        <v>814</v>
      </c>
    </row>
    <row r="101" spans="1:6" ht="20.100000000000001" customHeight="1">
      <c r="A101" s="27" t="s">
        <v>350</v>
      </c>
      <c r="B101" s="48"/>
      <c r="C101" s="27" t="s">
        <v>9102</v>
      </c>
      <c r="D101" s="16"/>
      <c r="E101" s="18" t="s">
        <v>9103</v>
      </c>
      <c r="F101" s="18" t="s">
        <v>822</v>
      </c>
    </row>
    <row r="102" spans="1:6" ht="20.100000000000001" customHeight="1">
      <c r="A102" s="27" t="s">
        <v>350</v>
      </c>
      <c r="B102" s="48"/>
      <c r="C102" s="27" t="s">
        <v>9104</v>
      </c>
      <c r="D102" s="16"/>
      <c r="E102" s="18" t="s">
        <v>9105</v>
      </c>
      <c r="F102" s="18" t="s">
        <v>830</v>
      </c>
    </row>
    <row r="103" spans="1:6" ht="20.100000000000001" customHeight="1">
      <c r="A103" s="27" t="s">
        <v>350</v>
      </c>
      <c r="B103" s="48"/>
      <c r="C103" s="27" t="s">
        <v>9106</v>
      </c>
      <c r="D103" s="28"/>
      <c r="E103" s="18" t="s">
        <v>9107</v>
      </c>
      <c r="F103" s="18" t="s">
        <v>838</v>
      </c>
    </row>
    <row r="104" spans="1:6" ht="20.100000000000001" customHeight="1">
      <c r="A104" s="27" t="s">
        <v>350</v>
      </c>
      <c r="B104" s="48"/>
      <c r="C104" s="27" t="s">
        <v>9108</v>
      </c>
      <c r="D104" s="28"/>
      <c r="E104" s="18" t="s">
        <v>9109</v>
      </c>
      <c r="F104" s="18" t="s">
        <v>846</v>
      </c>
    </row>
    <row r="105" spans="1:6" ht="20.100000000000001" customHeight="1">
      <c r="A105" s="27" t="s">
        <v>350</v>
      </c>
      <c r="B105" s="48"/>
      <c r="C105" s="27" t="s">
        <v>9110</v>
      </c>
      <c r="D105" s="28"/>
      <c r="E105" s="18" t="s">
        <v>9111</v>
      </c>
      <c r="F105" s="18" t="s">
        <v>854</v>
      </c>
    </row>
    <row r="106" spans="1:6" ht="20.100000000000001" customHeight="1">
      <c r="A106" s="27" t="s">
        <v>350</v>
      </c>
      <c r="B106" s="48"/>
      <c r="C106" s="27" t="s">
        <v>9112</v>
      </c>
      <c r="D106" s="28"/>
      <c r="E106" s="18" t="s">
        <v>9113</v>
      </c>
      <c r="F106" s="18" t="s">
        <v>861</v>
      </c>
    </row>
    <row r="107" spans="1:6" ht="20.100000000000001" customHeight="1">
      <c r="A107" s="27" t="s">
        <v>350</v>
      </c>
      <c r="B107" s="48"/>
      <c r="C107" s="27" t="s">
        <v>9114</v>
      </c>
      <c r="D107" s="18"/>
      <c r="E107" s="18" t="s">
        <v>9115</v>
      </c>
      <c r="F107" s="18" t="s">
        <v>869</v>
      </c>
    </row>
    <row r="108" spans="1:6" ht="20.100000000000001" customHeight="1">
      <c r="A108" s="27" t="s">
        <v>350</v>
      </c>
      <c r="B108" s="48"/>
      <c r="C108" s="27" t="s">
        <v>9116</v>
      </c>
      <c r="D108" s="18"/>
      <c r="E108" s="18" t="s">
        <v>9117</v>
      </c>
      <c r="F108" s="18" t="s">
        <v>877</v>
      </c>
    </row>
    <row r="109" spans="1:6" ht="20.100000000000001" customHeight="1">
      <c r="A109" s="27" t="s">
        <v>350</v>
      </c>
      <c r="B109" s="48"/>
      <c r="C109" s="27" t="s">
        <v>9118</v>
      </c>
      <c r="D109" s="18"/>
      <c r="E109" s="18" t="s">
        <v>9119</v>
      </c>
      <c r="F109" s="18" t="s">
        <v>885</v>
      </c>
    </row>
    <row r="110" spans="1:6" ht="20.100000000000001" customHeight="1">
      <c r="A110" s="27" t="s">
        <v>350</v>
      </c>
      <c r="B110" s="48"/>
      <c r="C110" s="27" t="s">
        <v>9120</v>
      </c>
      <c r="D110" s="18"/>
      <c r="E110" s="18" t="s">
        <v>9121</v>
      </c>
      <c r="F110" s="18" t="s">
        <v>892</v>
      </c>
    </row>
    <row r="111" spans="1:6" ht="20.100000000000001" customHeight="1">
      <c r="A111" s="27" t="s">
        <v>350</v>
      </c>
      <c r="B111" s="48"/>
      <c r="C111" s="27" t="s">
        <v>9122</v>
      </c>
      <c r="D111" s="18"/>
      <c r="E111" s="18" t="s">
        <v>9123</v>
      </c>
      <c r="F111" s="18" t="s">
        <v>900</v>
      </c>
    </row>
    <row r="112" spans="1:6" ht="20.100000000000001" customHeight="1">
      <c r="A112" s="27" t="s">
        <v>350</v>
      </c>
      <c r="B112" s="48"/>
      <c r="C112" s="27" t="s">
        <v>9124</v>
      </c>
      <c r="D112" s="18"/>
      <c r="E112" s="18" t="s">
        <v>9125</v>
      </c>
      <c r="F112" s="18" t="s">
        <v>906</v>
      </c>
    </row>
    <row r="113" spans="1:6" ht="20.100000000000001" customHeight="1">
      <c r="A113" s="27" t="s">
        <v>350</v>
      </c>
      <c r="B113" s="48"/>
      <c r="C113" s="27" t="s">
        <v>9126</v>
      </c>
      <c r="D113" s="18"/>
      <c r="E113" s="18" t="s">
        <v>9131</v>
      </c>
      <c r="F113" s="18" t="s">
        <v>913</v>
      </c>
    </row>
    <row r="114" spans="1:6" ht="20.100000000000001" customHeight="1">
      <c r="A114" s="27" t="s">
        <v>350</v>
      </c>
      <c r="B114" s="48"/>
      <c r="C114" s="27" t="s">
        <v>9127</v>
      </c>
      <c r="D114" s="18"/>
      <c r="E114" s="18" t="s">
        <v>9133</v>
      </c>
      <c r="F114" s="18" t="s">
        <v>921</v>
      </c>
    </row>
    <row r="115" spans="1:6" ht="20.100000000000001" customHeight="1">
      <c r="A115" s="27" t="s">
        <v>350</v>
      </c>
      <c r="B115" s="48"/>
      <c r="C115" s="27" t="s">
        <v>9128</v>
      </c>
      <c r="D115" s="18"/>
      <c r="E115" s="18" t="s">
        <v>9135</v>
      </c>
      <c r="F115" s="18" t="s">
        <v>928</v>
      </c>
    </row>
    <row r="116" spans="1:6" ht="20.100000000000001" customHeight="1">
      <c r="A116" s="27" t="s">
        <v>350</v>
      </c>
      <c r="B116" s="48"/>
      <c r="C116" s="27" t="s">
        <v>9129</v>
      </c>
      <c r="D116" s="18"/>
      <c r="E116" s="18" t="s">
        <v>9137</v>
      </c>
      <c r="F116" s="18" t="s">
        <v>936</v>
      </c>
    </row>
    <row r="117" spans="1:6" ht="20.100000000000001" customHeight="1">
      <c r="A117" s="27" t="s">
        <v>350</v>
      </c>
      <c r="B117" s="48"/>
      <c r="C117" s="27" t="s">
        <v>9130</v>
      </c>
      <c r="D117" s="18"/>
      <c r="E117" s="18" t="s">
        <v>9139</v>
      </c>
      <c r="F117" s="18" t="s">
        <v>944</v>
      </c>
    </row>
    <row r="118" spans="1:6" ht="20.100000000000001" customHeight="1">
      <c r="A118" s="27" t="s">
        <v>350</v>
      </c>
      <c r="B118" s="48"/>
      <c r="C118" s="27" t="s">
        <v>9132</v>
      </c>
      <c r="D118" s="18"/>
      <c r="E118" s="18" t="s">
        <v>9141</v>
      </c>
      <c r="F118" s="18" t="s">
        <v>952</v>
      </c>
    </row>
    <row r="119" spans="1:6" ht="20.100000000000001" customHeight="1">
      <c r="A119" s="27" t="s">
        <v>350</v>
      </c>
      <c r="B119" s="48"/>
      <c r="C119" s="27" t="s">
        <v>9134</v>
      </c>
      <c r="D119" s="16"/>
      <c r="E119" s="18" t="s">
        <v>9143</v>
      </c>
      <c r="F119" s="18" t="s">
        <v>959</v>
      </c>
    </row>
    <row r="120" spans="1:6" ht="20.100000000000001" customHeight="1">
      <c r="A120" s="27" t="s">
        <v>350</v>
      </c>
      <c r="B120" s="48"/>
      <c r="C120" s="27" t="s">
        <v>9136</v>
      </c>
      <c r="D120" s="16"/>
      <c r="E120" s="18" t="s">
        <v>9145</v>
      </c>
      <c r="F120" s="18" t="s">
        <v>967</v>
      </c>
    </row>
    <row r="121" spans="1:6" ht="20.100000000000001" customHeight="1">
      <c r="A121" s="27" t="s">
        <v>350</v>
      </c>
      <c r="B121" s="48"/>
      <c r="C121" s="27" t="s">
        <v>9138</v>
      </c>
      <c r="D121" s="16"/>
      <c r="E121" s="18" t="s">
        <v>9147</v>
      </c>
      <c r="F121" s="18" t="s">
        <v>975</v>
      </c>
    </row>
    <row r="122" spans="1:6" ht="20.100000000000001" customHeight="1">
      <c r="A122" s="27" t="s">
        <v>350</v>
      </c>
      <c r="B122" s="48"/>
      <c r="C122" s="27" t="s">
        <v>9140</v>
      </c>
      <c r="D122" s="16"/>
      <c r="E122" s="18" t="s">
        <v>9149</v>
      </c>
      <c r="F122" s="18" t="s">
        <v>983</v>
      </c>
    </row>
    <row r="123" spans="1:6" ht="20.100000000000001" customHeight="1">
      <c r="A123" s="27" t="s">
        <v>350</v>
      </c>
      <c r="B123" s="48"/>
      <c r="C123" s="27" t="s">
        <v>9142</v>
      </c>
      <c r="E123" s="18" t="s">
        <v>9151</v>
      </c>
      <c r="F123" s="18" t="s">
        <v>989</v>
      </c>
    </row>
    <row r="124" spans="1:6" ht="20.100000000000001" customHeight="1">
      <c r="A124" s="27" t="s">
        <v>350</v>
      </c>
      <c r="B124" s="48"/>
      <c r="C124" s="27" t="s">
        <v>9144</v>
      </c>
      <c r="E124" s="18" t="s">
        <v>9153</v>
      </c>
      <c r="F124" s="18" t="s">
        <v>997</v>
      </c>
    </row>
    <row r="125" spans="1:6" ht="20.100000000000001" customHeight="1">
      <c r="A125" s="27" t="s">
        <v>350</v>
      </c>
      <c r="B125" s="48"/>
      <c r="C125" s="27" t="s">
        <v>9146</v>
      </c>
      <c r="E125" s="18" t="s">
        <v>9155</v>
      </c>
      <c r="F125" s="18" t="s">
        <v>1004</v>
      </c>
    </row>
    <row r="126" spans="1:6" ht="20.100000000000001" customHeight="1">
      <c r="A126" s="27" t="s">
        <v>350</v>
      </c>
      <c r="B126" s="48"/>
      <c r="C126" s="27" t="s">
        <v>9148</v>
      </c>
      <c r="E126" s="18" t="s">
        <v>9157</v>
      </c>
      <c r="F126" s="18" t="s">
        <v>1011</v>
      </c>
    </row>
    <row r="127" spans="1:6" ht="20.100000000000001" customHeight="1">
      <c r="A127" s="27" t="s">
        <v>350</v>
      </c>
      <c r="B127" s="48"/>
      <c r="C127" s="27" t="s">
        <v>9150</v>
      </c>
      <c r="E127" s="18" t="s">
        <v>9159</v>
      </c>
      <c r="F127" s="18" t="s">
        <v>1019</v>
      </c>
    </row>
    <row r="128" spans="1:6" ht="20.100000000000001" customHeight="1">
      <c r="A128" s="27" t="s">
        <v>350</v>
      </c>
      <c r="B128" s="48"/>
      <c r="C128" s="27" t="s">
        <v>9152</v>
      </c>
      <c r="E128" s="18" t="s">
        <v>9161</v>
      </c>
      <c r="F128" s="18" t="s">
        <v>1026</v>
      </c>
    </row>
    <row r="129" spans="1:6" ht="20.100000000000001" customHeight="1">
      <c r="A129" s="27" t="s">
        <v>350</v>
      </c>
      <c r="B129" s="48"/>
      <c r="C129" s="27" t="s">
        <v>9154</v>
      </c>
      <c r="E129" s="18" t="s">
        <v>9163</v>
      </c>
      <c r="F129" s="18" t="s">
        <v>1034</v>
      </c>
    </row>
    <row r="130" spans="1:6" ht="20.100000000000001" customHeight="1">
      <c r="A130" s="27" t="s">
        <v>350</v>
      </c>
      <c r="B130" s="48"/>
      <c r="C130" s="27" t="s">
        <v>9156</v>
      </c>
      <c r="E130" s="18" t="s">
        <v>9165</v>
      </c>
      <c r="F130" s="18" t="s">
        <v>1052</v>
      </c>
    </row>
    <row r="131" spans="1:6" ht="20.100000000000001" customHeight="1">
      <c r="A131" s="27" t="s">
        <v>350</v>
      </c>
      <c r="B131" s="48"/>
      <c r="C131" s="27" t="s">
        <v>9158</v>
      </c>
      <c r="E131" s="18" t="s">
        <v>9167</v>
      </c>
      <c r="F131" s="18" t="s">
        <v>1058</v>
      </c>
    </row>
    <row r="132" spans="1:6" ht="20.100000000000001" customHeight="1">
      <c r="A132" s="27" t="s">
        <v>350</v>
      </c>
      <c r="B132" s="48"/>
      <c r="C132" s="27" t="s">
        <v>9160</v>
      </c>
      <c r="E132" s="18" t="s">
        <v>9169</v>
      </c>
      <c r="F132" s="18" t="s">
        <v>1066</v>
      </c>
    </row>
    <row r="133" spans="1:6" ht="20.100000000000001" customHeight="1">
      <c r="A133" s="27" t="s">
        <v>350</v>
      </c>
      <c r="B133" s="48"/>
      <c r="C133" s="27" t="s">
        <v>9162</v>
      </c>
      <c r="E133" s="18" t="s">
        <v>9171</v>
      </c>
      <c r="F133" s="18" t="s">
        <v>1072</v>
      </c>
    </row>
    <row r="134" spans="1:6" ht="20.100000000000001" customHeight="1">
      <c r="A134" s="27" t="s">
        <v>350</v>
      </c>
      <c r="B134" s="48"/>
      <c r="C134" s="27" t="s">
        <v>9164</v>
      </c>
      <c r="E134" s="18" t="s">
        <v>9173</v>
      </c>
      <c r="F134" s="18" t="s">
        <v>1078</v>
      </c>
    </row>
    <row r="135" spans="1:6" ht="20.100000000000001" customHeight="1">
      <c r="A135" s="27" t="s">
        <v>350</v>
      </c>
      <c r="B135" s="48"/>
      <c r="C135" s="27" t="s">
        <v>9166</v>
      </c>
      <c r="E135" s="18" t="s">
        <v>9175</v>
      </c>
      <c r="F135" s="18" t="s">
        <v>1085</v>
      </c>
    </row>
    <row r="136" spans="1:6" ht="20.100000000000001" customHeight="1">
      <c r="A136" s="27" t="s">
        <v>350</v>
      </c>
      <c r="B136" s="48"/>
      <c r="C136" s="27" t="s">
        <v>9168</v>
      </c>
      <c r="E136" s="18" t="s">
        <v>9177</v>
      </c>
      <c r="F136" s="18" t="s">
        <v>1091</v>
      </c>
    </row>
    <row r="137" spans="1:6" ht="20.100000000000001" customHeight="1">
      <c r="A137" s="27" t="s">
        <v>350</v>
      </c>
      <c r="B137" s="48"/>
      <c r="C137" s="27" t="s">
        <v>9170</v>
      </c>
      <c r="E137" s="18" t="s">
        <v>9179</v>
      </c>
      <c r="F137" s="18" t="s">
        <v>1097</v>
      </c>
    </row>
    <row r="138" spans="1:6" ht="20.100000000000001" customHeight="1">
      <c r="A138" s="27" t="s">
        <v>350</v>
      </c>
      <c r="B138" s="48"/>
      <c r="C138" s="27" t="s">
        <v>9172</v>
      </c>
      <c r="E138" s="18" t="s">
        <v>9181</v>
      </c>
      <c r="F138" s="18" t="s">
        <v>1104</v>
      </c>
    </row>
    <row r="139" spans="1:6" ht="20.100000000000001" customHeight="1">
      <c r="A139" s="27" t="s">
        <v>350</v>
      </c>
      <c r="B139" s="48"/>
      <c r="C139" s="27" t="s">
        <v>9174</v>
      </c>
      <c r="E139" s="18" t="s">
        <v>9183</v>
      </c>
      <c r="F139" s="18" t="s">
        <v>1111</v>
      </c>
    </row>
    <row r="140" spans="1:6" ht="20.100000000000001" customHeight="1">
      <c r="A140" s="27" t="s">
        <v>350</v>
      </c>
      <c r="B140" s="48"/>
      <c r="C140" s="27" t="s">
        <v>9176</v>
      </c>
      <c r="E140" s="18" t="s">
        <v>9185</v>
      </c>
      <c r="F140" s="18" t="s">
        <v>1117</v>
      </c>
    </row>
    <row r="141" spans="1:6" ht="20.100000000000001" customHeight="1">
      <c r="A141" s="27" t="s">
        <v>350</v>
      </c>
      <c r="B141" s="48"/>
      <c r="C141" s="27" t="s">
        <v>9178</v>
      </c>
      <c r="E141" s="18" t="s">
        <v>9187</v>
      </c>
      <c r="F141" s="18" t="s">
        <v>1123</v>
      </c>
    </row>
    <row r="142" spans="1:6" ht="20.100000000000001" customHeight="1">
      <c r="A142" s="27" t="s">
        <v>350</v>
      </c>
      <c r="B142" s="48"/>
      <c r="C142" s="27" t="s">
        <v>9180</v>
      </c>
      <c r="E142" s="18" t="s">
        <v>9189</v>
      </c>
      <c r="F142" s="18" t="s">
        <v>1128</v>
      </c>
    </row>
    <row r="143" spans="1:6" ht="20.100000000000001" customHeight="1">
      <c r="A143" s="27" t="s">
        <v>350</v>
      </c>
      <c r="B143" s="48"/>
      <c r="C143" s="27" t="s">
        <v>9182</v>
      </c>
      <c r="E143" s="18" t="s">
        <v>9191</v>
      </c>
      <c r="F143" s="18" t="s">
        <v>1134</v>
      </c>
    </row>
    <row r="144" spans="1:6" ht="20.100000000000001" customHeight="1">
      <c r="A144" s="27" t="s">
        <v>350</v>
      </c>
      <c r="B144" s="48"/>
      <c r="C144" s="27" t="s">
        <v>9184</v>
      </c>
      <c r="E144" s="18" t="s">
        <v>9193</v>
      </c>
      <c r="F144" s="18" t="s">
        <v>1140</v>
      </c>
    </row>
    <row r="145" spans="1:6" ht="20.100000000000001" customHeight="1">
      <c r="A145" s="27" t="s">
        <v>350</v>
      </c>
      <c r="B145" s="48"/>
      <c r="C145" s="27" t="s">
        <v>9186</v>
      </c>
      <c r="E145" s="18" t="s">
        <v>9195</v>
      </c>
      <c r="F145" s="18" t="s">
        <v>1147</v>
      </c>
    </row>
    <row r="146" spans="1:6" ht="20.100000000000001" customHeight="1">
      <c r="A146" s="27" t="s">
        <v>350</v>
      </c>
      <c r="B146" s="48"/>
      <c r="C146" s="27" t="s">
        <v>9188</v>
      </c>
      <c r="E146" s="18" t="s">
        <v>9197</v>
      </c>
      <c r="F146" s="18" t="s">
        <v>1154</v>
      </c>
    </row>
    <row r="147" spans="1:6" ht="20.100000000000001" customHeight="1">
      <c r="A147" s="27" t="s">
        <v>350</v>
      </c>
      <c r="B147" s="48"/>
      <c r="C147" s="27" t="s">
        <v>9190</v>
      </c>
      <c r="E147" s="18" t="s">
        <v>9199</v>
      </c>
      <c r="F147" s="18" t="s">
        <v>1160</v>
      </c>
    </row>
    <row r="148" spans="1:6" ht="20.100000000000001" customHeight="1">
      <c r="A148" s="27" t="s">
        <v>350</v>
      </c>
      <c r="B148" s="48"/>
      <c r="C148" s="27" t="s">
        <v>9192</v>
      </c>
      <c r="E148" s="18" t="s">
        <v>9201</v>
      </c>
      <c r="F148" s="18" t="s">
        <v>1167</v>
      </c>
    </row>
    <row r="149" spans="1:6" ht="20.100000000000001" customHeight="1">
      <c r="A149" s="27" t="s">
        <v>350</v>
      </c>
      <c r="B149" s="48"/>
      <c r="C149" s="27" t="s">
        <v>9194</v>
      </c>
      <c r="E149" s="18" t="s">
        <v>9203</v>
      </c>
      <c r="F149" s="18" t="s">
        <v>1173</v>
      </c>
    </row>
    <row r="150" spans="1:6" ht="20.100000000000001" customHeight="1">
      <c r="A150" s="27" t="s">
        <v>350</v>
      </c>
      <c r="B150" s="48"/>
      <c r="C150" s="27" t="s">
        <v>9196</v>
      </c>
      <c r="E150" s="18" t="s">
        <v>9205</v>
      </c>
      <c r="F150" s="18" t="s">
        <v>1179</v>
      </c>
    </row>
    <row r="151" spans="1:6" ht="20.100000000000001" customHeight="1">
      <c r="A151" s="27" t="s">
        <v>350</v>
      </c>
      <c r="B151" s="48"/>
      <c r="C151" s="27" t="s">
        <v>9198</v>
      </c>
      <c r="E151" s="18" t="s">
        <v>9207</v>
      </c>
      <c r="F151" s="18" t="s">
        <v>1187</v>
      </c>
    </row>
    <row r="152" spans="1:6" ht="20.100000000000001" customHeight="1">
      <c r="A152" s="27" t="s">
        <v>350</v>
      </c>
      <c r="B152" s="48"/>
      <c r="C152" s="27" t="s">
        <v>9200</v>
      </c>
      <c r="E152" s="18" t="s">
        <v>9209</v>
      </c>
      <c r="F152" s="18" t="s">
        <v>1194</v>
      </c>
    </row>
    <row r="153" spans="1:6" ht="20.100000000000001" customHeight="1">
      <c r="A153" s="27" t="s">
        <v>350</v>
      </c>
      <c r="B153" s="48"/>
      <c r="C153" s="27" t="s">
        <v>9202</v>
      </c>
      <c r="E153" s="18" t="s">
        <v>9211</v>
      </c>
      <c r="F153" s="18" t="s">
        <v>1199</v>
      </c>
    </row>
    <row r="154" spans="1:6" ht="20.100000000000001" customHeight="1">
      <c r="A154" s="27" t="s">
        <v>350</v>
      </c>
      <c r="B154" s="48"/>
      <c r="C154" s="27" t="s">
        <v>9204</v>
      </c>
      <c r="E154" s="18" t="s">
        <v>9213</v>
      </c>
      <c r="F154" s="18" t="s">
        <v>1207</v>
      </c>
    </row>
    <row r="155" spans="1:6" ht="20.100000000000001" customHeight="1">
      <c r="A155" s="27" t="s">
        <v>350</v>
      </c>
      <c r="B155" s="48"/>
      <c r="C155" s="27" t="s">
        <v>9206</v>
      </c>
      <c r="E155" s="18" t="s">
        <v>9215</v>
      </c>
      <c r="F155" s="18" t="s">
        <v>1215</v>
      </c>
    </row>
    <row r="156" spans="1:6" ht="20.100000000000001" customHeight="1">
      <c r="A156" s="27" t="s">
        <v>350</v>
      </c>
      <c r="B156" s="48"/>
      <c r="C156" s="27" t="s">
        <v>9208</v>
      </c>
      <c r="E156" s="18" t="s">
        <v>9217</v>
      </c>
      <c r="F156" s="18" t="s">
        <v>1224</v>
      </c>
    </row>
    <row r="157" spans="1:6" ht="20.100000000000001" customHeight="1">
      <c r="A157" s="27" t="s">
        <v>350</v>
      </c>
      <c r="B157" s="48"/>
      <c r="C157" s="27" t="s">
        <v>9210</v>
      </c>
      <c r="E157" s="18" t="s">
        <v>9219</v>
      </c>
      <c r="F157" s="18" t="s">
        <v>1238</v>
      </c>
    </row>
    <row r="158" spans="1:6" ht="20.100000000000001" customHeight="1">
      <c r="A158" s="27" t="s">
        <v>350</v>
      </c>
      <c r="B158" s="48"/>
      <c r="C158" s="27" t="s">
        <v>9212</v>
      </c>
      <c r="E158" s="18" t="s">
        <v>9221</v>
      </c>
      <c r="F158" s="18" t="s">
        <v>1246</v>
      </c>
    </row>
    <row r="159" spans="1:6" ht="20.100000000000001" customHeight="1">
      <c r="A159" s="27" t="s">
        <v>350</v>
      </c>
      <c r="B159" s="48"/>
      <c r="C159" s="27" t="s">
        <v>9214</v>
      </c>
      <c r="E159" s="18" t="s">
        <v>9223</v>
      </c>
      <c r="F159" s="18" t="s">
        <v>1253</v>
      </c>
    </row>
    <row r="160" spans="1:6" ht="20.100000000000001" customHeight="1">
      <c r="A160" s="27" t="s">
        <v>350</v>
      </c>
      <c r="B160" s="48"/>
      <c r="C160" s="27" t="s">
        <v>9216</v>
      </c>
      <c r="E160" s="18" t="s">
        <v>9225</v>
      </c>
      <c r="F160" s="18" t="s">
        <v>1260</v>
      </c>
    </row>
    <row r="161" spans="1:6" ht="20.100000000000001" customHeight="1">
      <c r="A161" s="27" t="s">
        <v>350</v>
      </c>
      <c r="B161" s="48"/>
      <c r="C161" s="27" t="s">
        <v>9218</v>
      </c>
      <c r="E161" s="18" t="s">
        <v>9227</v>
      </c>
      <c r="F161" s="18" t="s">
        <v>1267</v>
      </c>
    </row>
    <row r="162" spans="1:6" ht="20.100000000000001" customHeight="1">
      <c r="A162" s="27" t="s">
        <v>350</v>
      </c>
      <c r="B162" s="48"/>
      <c r="C162" s="27" t="s">
        <v>9220</v>
      </c>
      <c r="E162" s="18" t="s">
        <v>9229</v>
      </c>
      <c r="F162" s="18" t="s">
        <v>1275</v>
      </c>
    </row>
    <row r="163" spans="1:6" ht="20.100000000000001" customHeight="1">
      <c r="A163" s="27" t="s">
        <v>350</v>
      </c>
      <c r="B163" s="48"/>
      <c r="C163" s="27" t="s">
        <v>9222</v>
      </c>
      <c r="E163" s="18" t="s">
        <v>9231</v>
      </c>
      <c r="F163" s="18" t="s">
        <v>1284</v>
      </c>
    </row>
    <row r="164" spans="1:6" ht="20.100000000000001" customHeight="1">
      <c r="A164" s="27" t="s">
        <v>350</v>
      </c>
      <c r="B164" s="48"/>
      <c r="C164" s="27" t="s">
        <v>9224</v>
      </c>
      <c r="E164" s="18" t="s">
        <v>9233</v>
      </c>
      <c r="F164" s="18" t="s">
        <v>1290</v>
      </c>
    </row>
    <row r="165" spans="1:6" ht="20.100000000000001" customHeight="1">
      <c r="A165" s="27" t="s">
        <v>350</v>
      </c>
      <c r="B165" s="48"/>
      <c r="C165" s="27" t="s">
        <v>9226</v>
      </c>
      <c r="E165" s="18" t="s">
        <v>9235</v>
      </c>
      <c r="F165" s="18" t="s">
        <v>1295</v>
      </c>
    </row>
    <row r="166" spans="1:6" ht="20.100000000000001" customHeight="1">
      <c r="A166" s="27" t="s">
        <v>350</v>
      </c>
      <c r="B166" s="48"/>
      <c r="C166" s="27" t="s">
        <v>9228</v>
      </c>
      <c r="E166" s="18" t="s">
        <v>9237</v>
      </c>
      <c r="F166" s="18" t="s">
        <v>1301</v>
      </c>
    </row>
    <row r="167" spans="1:6" ht="20.100000000000001" customHeight="1">
      <c r="A167" s="27" t="s">
        <v>350</v>
      </c>
      <c r="B167" s="48"/>
      <c r="C167" s="27" t="s">
        <v>9230</v>
      </c>
      <c r="E167" s="18" t="s">
        <v>9239</v>
      </c>
      <c r="F167" s="18" t="s">
        <v>1306</v>
      </c>
    </row>
    <row r="168" spans="1:6" ht="20.100000000000001" customHeight="1">
      <c r="A168" s="27" t="s">
        <v>350</v>
      </c>
      <c r="B168" s="48"/>
      <c r="C168" s="27" t="s">
        <v>9232</v>
      </c>
      <c r="E168" s="18" t="s">
        <v>9241</v>
      </c>
      <c r="F168" s="18" t="s">
        <v>1311</v>
      </c>
    </row>
    <row r="169" spans="1:6" ht="20.100000000000001" customHeight="1">
      <c r="A169" s="27" t="s">
        <v>350</v>
      </c>
      <c r="B169" s="48"/>
      <c r="C169" s="27" t="s">
        <v>9234</v>
      </c>
      <c r="E169" s="18" t="s">
        <v>9243</v>
      </c>
      <c r="F169" s="18" t="s">
        <v>1316</v>
      </c>
    </row>
    <row r="170" spans="1:6" ht="20.100000000000001" customHeight="1">
      <c r="A170" s="27" t="s">
        <v>350</v>
      </c>
      <c r="B170" s="48"/>
      <c r="C170" s="27" t="s">
        <v>9236</v>
      </c>
      <c r="E170" s="18" t="s">
        <v>9245</v>
      </c>
      <c r="F170" s="18" t="s">
        <v>1325</v>
      </c>
    </row>
    <row r="171" spans="1:6" ht="20.100000000000001" customHeight="1">
      <c r="A171" s="27" t="s">
        <v>350</v>
      </c>
      <c r="B171" s="48"/>
      <c r="C171" s="27" t="s">
        <v>9238</v>
      </c>
      <c r="E171" s="18" t="s">
        <v>9247</v>
      </c>
      <c r="F171" s="18" t="s">
        <v>1333</v>
      </c>
    </row>
    <row r="172" spans="1:6" ht="20.100000000000001" customHeight="1">
      <c r="A172" s="27" t="s">
        <v>350</v>
      </c>
      <c r="B172" s="48"/>
      <c r="C172" s="27" t="s">
        <v>9240</v>
      </c>
      <c r="E172" s="18" t="s">
        <v>9249</v>
      </c>
      <c r="F172" s="18" t="s">
        <v>1341</v>
      </c>
    </row>
    <row r="173" spans="1:6" ht="20.100000000000001" customHeight="1">
      <c r="A173" s="27" t="s">
        <v>350</v>
      </c>
      <c r="B173" s="48"/>
      <c r="C173" s="27" t="s">
        <v>9242</v>
      </c>
      <c r="E173" s="18" t="s">
        <v>9251</v>
      </c>
      <c r="F173" s="18" t="s">
        <v>1349</v>
      </c>
    </row>
    <row r="174" spans="1:6" ht="20.100000000000001" customHeight="1">
      <c r="A174" s="27" t="s">
        <v>350</v>
      </c>
      <c r="B174" s="48"/>
      <c r="C174" s="27" t="s">
        <v>9244</v>
      </c>
      <c r="E174" s="18" t="s">
        <v>9253</v>
      </c>
      <c r="F174" s="18" t="s">
        <v>1357</v>
      </c>
    </row>
    <row r="175" spans="1:6" ht="20.100000000000001" customHeight="1">
      <c r="A175" s="27" t="s">
        <v>350</v>
      </c>
      <c r="B175" s="48"/>
      <c r="C175" s="27" t="s">
        <v>9246</v>
      </c>
      <c r="E175" s="18" t="s">
        <v>9255</v>
      </c>
      <c r="F175" s="18" t="s">
        <v>1365</v>
      </c>
    </row>
    <row r="176" spans="1:6" ht="20.100000000000001" customHeight="1">
      <c r="A176" s="27" t="s">
        <v>350</v>
      </c>
      <c r="B176" s="48"/>
      <c r="C176" s="27" t="s">
        <v>9248</v>
      </c>
      <c r="E176" s="18" t="s">
        <v>9257</v>
      </c>
      <c r="F176" s="18" t="s">
        <v>1372</v>
      </c>
    </row>
    <row r="177" spans="1:6" ht="20.100000000000001" customHeight="1">
      <c r="A177" s="27" t="s">
        <v>350</v>
      </c>
      <c r="B177" s="48"/>
      <c r="C177" s="27" t="s">
        <v>9250</v>
      </c>
      <c r="E177" s="18" t="s">
        <v>9259</v>
      </c>
      <c r="F177" s="18" t="s">
        <v>1380</v>
      </c>
    </row>
    <row r="178" spans="1:6" ht="20.100000000000001" customHeight="1">
      <c r="A178" s="27" t="s">
        <v>350</v>
      </c>
      <c r="B178" s="48"/>
      <c r="C178" s="27" t="s">
        <v>9252</v>
      </c>
      <c r="E178" s="18" t="s">
        <v>9261</v>
      </c>
      <c r="F178" s="18" t="s">
        <v>1388</v>
      </c>
    </row>
    <row r="179" spans="1:6" ht="20.100000000000001" customHeight="1">
      <c r="A179" s="27" t="s">
        <v>350</v>
      </c>
      <c r="B179" s="48"/>
      <c r="C179" s="27" t="s">
        <v>9254</v>
      </c>
      <c r="E179" s="18" t="s">
        <v>9263</v>
      </c>
      <c r="F179" s="18" t="s">
        <v>1396</v>
      </c>
    </row>
    <row r="180" spans="1:6" ht="20.100000000000001" customHeight="1">
      <c r="A180" s="27" t="s">
        <v>350</v>
      </c>
      <c r="B180" s="48"/>
      <c r="C180" s="27" t="s">
        <v>9256</v>
      </c>
      <c r="E180" s="18" t="s">
        <v>9265</v>
      </c>
      <c r="F180" s="18" t="s">
        <v>1404</v>
      </c>
    </row>
    <row r="181" spans="1:6" ht="20.100000000000001" customHeight="1">
      <c r="A181" s="27" t="s">
        <v>350</v>
      </c>
      <c r="B181" s="48"/>
      <c r="C181" s="27" t="s">
        <v>9258</v>
      </c>
      <c r="E181" s="18" t="s">
        <v>9267</v>
      </c>
      <c r="F181" s="18" t="s">
        <v>1412</v>
      </c>
    </row>
    <row r="182" spans="1:6" ht="20.100000000000001" customHeight="1">
      <c r="A182" s="27" t="s">
        <v>350</v>
      </c>
      <c r="B182" s="48"/>
      <c r="C182" s="27" t="s">
        <v>9260</v>
      </c>
      <c r="E182" s="18" t="s">
        <v>9269</v>
      </c>
      <c r="F182" s="18" t="s">
        <v>1420</v>
      </c>
    </row>
    <row r="183" spans="1:6" ht="20.100000000000001" customHeight="1">
      <c r="A183" s="27" t="s">
        <v>350</v>
      </c>
      <c r="B183" s="48"/>
      <c r="C183" s="27" t="s">
        <v>9262</v>
      </c>
      <c r="E183" s="18" t="s">
        <v>9271</v>
      </c>
      <c r="F183" s="18" t="s">
        <v>1427</v>
      </c>
    </row>
    <row r="184" spans="1:6" ht="20.100000000000001" customHeight="1">
      <c r="A184" s="27" t="s">
        <v>350</v>
      </c>
      <c r="B184" s="48"/>
      <c r="C184" s="27" t="s">
        <v>9264</v>
      </c>
      <c r="E184" s="18" t="s">
        <v>9273</v>
      </c>
      <c r="F184" s="18" t="s">
        <v>1434</v>
      </c>
    </row>
    <row r="185" spans="1:6" ht="20.100000000000001" customHeight="1">
      <c r="B185" s="48"/>
      <c r="C185" s="27" t="s">
        <v>9266</v>
      </c>
      <c r="E185" s="18" t="s">
        <v>9275</v>
      </c>
      <c r="F185" s="18" t="s">
        <v>1441</v>
      </c>
    </row>
    <row r="186" spans="1:6" ht="20.100000000000001" customHeight="1">
      <c r="A186" s="27" t="s">
        <v>350</v>
      </c>
      <c r="B186" s="48"/>
      <c r="C186" s="27" t="s">
        <v>9268</v>
      </c>
      <c r="E186" s="18" t="s">
        <v>9277</v>
      </c>
      <c r="F186" s="18" t="s">
        <v>1448</v>
      </c>
    </row>
    <row r="187" spans="1:6" ht="20.100000000000001" customHeight="1">
      <c r="A187" s="27" t="s">
        <v>350</v>
      </c>
      <c r="B187" s="48"/>
      <c r="C187" s="27" t="s">
        <v>9270</v>
      </c>
      <c r="E187" s="18" t="s">
        <v>9279</v>
      </c>
      <c r="F187" s="18" t="s">
        <v>1456</v>
      </c>
    </row>
    <row r="188" spans="1:6" ht="20.100000000000001" customHeight="1">
      <c r="A188" s="27" t="s">
        <v>350</v>
      </c>
      <c r="B188" s="48"/>
      <c r="C188" s="27" t="s">
        <v>9272</v>
      </c>
      <c r="E188" s="18" t="s">
        <v>9281</v>
      </c>
      <c r="F188" s="18" t="s">
        <v>1464</v>
      </c>
    </row>
    <row r="189" spans="1:6" ht="20.100000000000001" customHeight="1">
      <c r="A189" s="27" t="s">
        <v>350</v>
      </c>
      <c r="B189" s="48"/>
      <c r="C189" s="27" t="s">
        <v>9274</v>
      </c>
      <c r="E189" s="18" t="s">
        <v>9282</v>
      </c>
      <c r="F189" s="18" t="s">
        <v>1472</v>
      </c>
    </row>
    <row r="190" spans="1:6" ht="20.100000000000001" customHeight="1">
      <c r="A190" s="27" t="s">
        <v>350</v>
      </c>
      <c r="B190" s="48"/>
      <c r="C190" s="27" t="s">
        <v>9276</v>
      </c>
      <c r="E190" s="18" t="s">
        <v>9283</v>
      </c>
      <c r="F190" s="18" t="s">
        <v>1479</v>
      </c>
    </row>
    <row r="191" spans="1:6" ht="20.100000000000001" customHeight="1">
      <c r="A191" s="27" t="s">
        <v>350</v>
      </c>
      <c r="B191" s="48"/>
      <c r="C191" s="27" t="s">
        <v>9278</v>
      </c>
      <c r="E191" s="18" t="s">
        <v>9285</v>
      </c>
      <c r="F191" s="18" t="s">
        <v>1487</v>
      </c>
    </row>
    <row r="192" spans="1:6" ht="20.100000000000001" customHeight="1">
      <c r="A192" s="27" t="s">
        <v>350</v>
      </c>
      <c r="B192" s="48"/>
      <c r="C192" s="27" t="s">
        <v>9280</v>
      </c>
      <c r="E192" s="18" t="s">
        <v>9287</v>
      </c>
      <c r="F192" s="18" t="s">
        <v>1495</v>
      </c>
    </row>
    <row r="193" spans="1:6" ht="20.100000000000001" customHeight="1">
      <c r="A193" s="27" t="s">
        <v>350</v>
      </c>
      <c r="B193" s="48"/>
      <c r="C193" s="27" t="s">
        <v>8931</v>
      </c>
      <c r="E193" s="18" t="s">
        <v>9289</v>
      </c>
      <c r="F193" s="18" t="s">
        <v>1502</v>
      </c>
    </row>
    <row r="194" spans="1:6" ht="20.100000000000001" customHeight="1">
      <c r="A194" s="27" t="s">
        <v>350</v>
      </c>
      <c r="B194" s="48"/>
      <c r="C194" s="27" t="s">
        <v>8934</v>
      </c>
      <c r="E194" s="18" t="s">
        <v>9291</v>
      </c>
      <c r="F194" s="18" t="s">
        <v>1509</v>
      </c>
    </row>
    <row r="195" spans="1:6" ht="20.100000000000001" customHeight="1">
      <c r="A195" s="27" t="s">
        <v>350</v>
      </c>
      <c r="B195" s="48"/>
      <c r="C195" s="27" t="s">
        <v>9284</v>
      </c>
      <c r="E195" s="18" t="s">
        <v>9293</v>
      </c>
      <c r="F195" s="18" t="s">
        <v>1516</v>
      </c>
    </row>
    <row r="196" spans="1:6" ht="20.100000000000001" customHeight="1">
      <c r="A196" s="27" t="s">
        <v>350</v>
      </c>
      <c r="B196" s="48"/>
      <c r="C196" s="27" t="s">
        <v>9286</v>
      </c>
      <c r="E196" s="18" t="s">
        <v>9295</v>
      </c>
      <c r="F196" s="18" t="s">
        <v>1524</v>
      </c>
    </row>
    <row r="197" spans="1:6" ht="20.100000000000001" customHeight="1">
      <c r="A197" s="27" t="s">
        <v>350</v>
      </c>
      <c r="B197" s="48"/>
      <c r="C197" s="27" t="s">
        <v>9288</v>
      </c>
      <c r="E197" s="18" t="s">
        <v>9297</v>
      </c>
      <c r="F197" s="18" t="s">
        <v>1532</v>
      </c>
    </row>
    <row r="198" spans="1:6" ht="20.100000000000001" customHeight="1">
      <c r="A198" s="27" t="s">
        <v>350</v>
      </c>
      <c r="B198" s="48"/>
      <c r="C198" s="27" t="s">
        <v>9290</v>
      </c>
      <c r="E198" s="18" t="s">
        <v>9299</v>
      </c>
      <c r="F198" s="18" t="s">
        <v>1540</v>
      </c>
    </row>
    <row r="199" spans="1:6" ht="20.100000000000001" customHeight="1">
      <c r="A199" s="27" t="s">
        <v>350</v>
      </c>
      <c r="B199" s="48"/>
      <c r="C199" s="27" t="s">
        <v>9292</v>
      </c>
      <c r="E199" s="18" t="s">
        <v>9301</v>
      </c>
      <c r="F199" s="18" t="s">
        <v>1547</v>
      </c>
    </row>
    <row r="200" spans="1:6" ht="20.100000000000001" customHeight="1">
      <c r="A200" s="27" t="s">
        <v>350</v>
      </c>
      <c r="B200" s="48"/>
      <c r="C200" s="27" t="s">
        <v>9294</v>
      </c>
      <c r="E200" s="18" t="s">
        <v>9303</v>
      </c>
      <c r="F200" s="18" t="s">
        <v>1554</v>
      </c>
    </row>
    <row r="201" spans="1:6" ht="20.100000000000001" customHeight="1">
      <c r="A201" s="27" t="s">
        <v>350</v>
      </c>
      <c r="B201" s="48"/>
      <c r="C201" s="27" t="s">
        <v>9296</v>
      </c>
      <c r="E201" s="18" t="s">
        <v>9305</v>
      </c>
      <c r="F201" s="18" t="s">
        <v>1562</v>
      </c>
    </row>
    <row r="202" spans="1:6" ht="20.100000000000001" customHeight="1">
      <c r="A202" s="27" t="s">
        <v>350</v>
      </c>
      <c r="B202" s="48"/>
      <c r="C202" s="27" t="s">
        <v>9298</v>
      </c>
      <c r="E202" s="18" t="s">
        <v>9307</v>
      </c>
      <c r="F202" s="18" t="s">
        <v>1570</v>
      </c>
    </row>
    <row r="203" spans="1:6" ht="20.100000000000001" customHeight="1">
      <c r="A203" s="27" t="s">
        <v>350</v>
      </c>
      <c r="B203" s="48"/>
      <c r="C203" s="27" t="s">
        <v>9300</v>
      </c>
      <c r="E203" s="18" t="s">
        <v>9309</v>
      </c>
      <c r="F203" s="18" t="s">
        <v>1578</v>
      </c>
    </row>
    <row r="204" spans="1:6" ht="20.100000000000001" customHeight="1">
      <c r="A204" s="27" t="s">
        <v>350</v>
      </c>
      <c r="B204" s="48"/>
      <c r="C204" s="27" t="s">
        <v>9302</v>
      </c>
      <c r="E204" s="18" t="s">
        <v>9311</v>
      </c>
      <c r="F204" s="18" t="s">
        <v>1586</v>
      </c>
    </row>
    <row r="205" spans="1:6" ht="20.100000000000001" customHeight="1">
      <c r="A205" s="27" t="s">
        <v>350</v>
      </c>
      <c r="B205" s="48"/>
      <c r="C205" s="27" t="s">
        <v>9304</v>
      </c>
      <c r="E205" s="18" t="s">
        <v>9313</v>
      </c>
      <c r="F205" s="18" t="s">
        <v>1594</v>
      </c>
    </row>
    <row r="206" spans="1:6" ht="20.100000000000001" customHeight="1">
      <c r="A206" s="27" t="s">
        <v>350</v>
      </c>
      <c r="B206" s="48"/>
      <c r="C206" s="27" t="s">
        <v>9306</v>
      </c>
      <c r="E206" s="18" t="s">
        <v>9315</v>
      </c>
      <c r="F206" s="18" t="s">
        <v>1602</v>
      </c>
    </row>
    <row r="207" spans="1:6" ht="20.100000000000001" customHeight="1">
      <c r="A207" s="27" t="s">
        <v>350</v>
      </c>
      <c r="B207" s="48"/>
      <c r="C207" s="27" t="s">
        <v>9308</v>
      </c>
      <c r="E207" s="18" t="s">
        <v>9317</v>
      </c>
      <c r="F207" s="18" t="s">
        <v>1610</v>
      </c>
    </row>
    <row r="208" spans="1:6" ht="20.100000000000001" customHeight="1">
      <c r="A208" s="27" t="s">
        <v>350</v>
      </c>
      <c r="B208" s="48"/>
      <c r="C208" s="27" t="s">
        <v>9310</v>
      </c>
      <c r="E208" s="18" t="s">
        <v>9319</v>
      </c>
      <c r="F208" s="18" t="s">
        <v>1618</v>
      </c>
    </row>
    <row r="209" spans="1:6" ht="20.100000000000001" customHeight="1">
      <c r="A209" s="27" t="s">
        <v>350</v>
      </c>
      <c r="B209" s="48"/>
      <c r="C209" s="27" t="s">
        <v>9312</v>
      </c>
      <c r="E209" s="18" t="s">
        <v>9321</v>
      </c>
      <c r="F209" s="18" t="s">
        <v>1626</v>
      </c>
    </row>
    <row r="210" spans="1:6" ht="20.100000000000001" customHeight="1">
      <c r="A210" s="27" t="s">
        <v>350</v>
      </c>
      <c r="B210" s="48"/>
      <c r="C210" s="27" t="s">
        <v>9314</v>
      </c>
      <c r="E210" s="18" t="s">
        <v>9323</v>
      </c>
      <c r="F210" s="18" t="s">
        <v>1634</v>
      </c>
    </row>
    <row r="211" spans="1:6" ht="20.100000000000001" customHeight="1">
      <c r="A211" s="27" t="s">
        <v>350</v>
      </c>
      <c r="B211" s="48"/>
      <c r="C211" s="27" t="s">
        <v>9316</v>
      </c>
      <c r="E211" s="18" t="s">
        <v>9325</v>
      </c>
      <c r="F211" s="18" t="s">
        <v>1642</v>
      </c>
    </row>
    <row r="212" spans="1:6" ht="20.100000000000001" customHeight="1">
      <c r="A212" s="27" t="s">
        <v>350</v>
      </c>
      <c r="B212" s="48"/>
      <c r="C212" s="27" t="s">
        <v>9318</v>
      </c>
      <c r="E212" s="18" t="s">
        <v>9327</v>
      </c>
      <c r="F212" s="18" t="s">
        <v>1650</v>
      </c>
    </row>
    <row r="213" spans="1:6" ht="20.100000000000001" customHeight="1">
      <c r="A213" s="27" t="s">
        <v>350</v>
      </c>
      <c r="B213" s="48"/>
      <c r="C213" s="27" t="s">
        <v>9320</v>
      </c>
      <c r="E213" s="18" t="s">
        <v>9329</v>
      </c>
      <c r="F213" s="18" t="s">
        <v>1658</v>
      </c>
    </row>
    <row r="214" spans="1:6" ht="20.100000000000001" customHeight="1">
      <c r="A214" s="27" t="s">
        <v>350</v>
      </c>
      <c r="B214" s="48"/>
      <c r="C214" s="27" t="s">
        <v>9322</v>
      </c>
      <c r="E214" s="18" t="s">
        <v>9331</v>
      </c>
      <c r="F214" s="18" t="s">
        <v>1666</v>
      </c>
    </row>
    <row r="215" spans="1:6" ht="20.100000000000001" customHeight="1">
      <c r="A215" s="27" t="s">
        <v>350</v>
      </c>
      <c r="B215" s="48"/>
      <c r="C215" s="27" t="s">
        <v>9324</v>
      </c>
      <c r="E215" s="18" t="s">
        <v>9333</v>
      </c>
      <c r="F215" s="18" t="s">
        <v>1672</v>
      </c>
    </row>
    <row r="216" spans="1:6" ht="20.100000000000001" customHeight="1">
      <c r="A216" s="27" t="s">
        <v>350</v>
      </c>
      <c r="B216" s="48"/>
      <c r="C216" s="27" t="s">
        <v>9326</v>
      </c>
      <c r="E216" s="18" t="s">
        <v>9335</v>
      </c>
      <c r="F216" s="18" t="s">
        <v>1679</v>
      </c>
    </row>
    <row r="217" spans="1:6" ht="20.100000000000001" customHeight="1">
      <c r="A217" s="27" t="s">
        <v>350</v>
      </c>
      <c r="B217" s="48"/>
      <c r="C217" s="27" t="s">
        <v>9328</v>
      </c>
      <c r="E217" s="18" t="s">
        <v>9337</v>
      </c>
      <c r="F217" s="18" t="s">
        <v>1687</v>
      </c>
    </row>
    <row r="218" spans="1:6" ht="20.100000000000001" customHeight="1">
      <c r="A218" s="27" t="s">
        <v>350</v>
      </c>
      <c r="B218" s="48"/>
      <c r="C218" s="27" t="s">
        <v>9330</v>
      </c>
      <c r="E218" s="18" t="s">
        <v>9339</v>
      </c>
      <c r="F218" s="18" t="s">
        <v>1695</v>
      </c>
    </row>
    <row r="219" spans="1:6" ht="20.100000000000001" customHeight="1">
      <c r="A219" s="27" t="s">
        <v>350</v>
      </c>
      <c r="B219" s="48"/>
      <c r="C219" s="27" t="s">
        <v>9332</v>
      </c>
      <c r="E219" s="18" t="s">
        <v>9341</v>
      </c>
      <c r="F219" s="18" t="s">
        <v>1703</v>
      </c>
    </row>
    <row r="220" spans="1:6" ht="20.100000000000001" customHeight="1">
      <c r="A220" s="27" t="s">
        <v>350</v>
      </c>
      <c r="B220" s="48"/>
      <c r="C220" s="27" t="s">
        <v>9334</v>
      </c>
      <c r="E220" s="18" t="s">
        <v>9343</v>
      </c>
      <c r="F220" s="18" t="s">
        <v>1711</v>
      </c>
    </row>
    <row r="221" spans="1:6" ht="20.100000000000001" customHeight="1">
      <c r="A221" s="27" t="s">
        <v>350</v>
      </c>
      <c r="B221" s="48"/>
      <c r="C221" s="27" t="s">
        <v>9336</v>
      </c>
      <c r="E221" s="18" t="s">
        <v>9345</v>
      </c>
      <c r="F221" s="18" t="s">
        <v>1719</v>
      </c>
    </row>
    <row r="222" spans="1:6" ht="20.100000000000001" customHeight="1">
      <c r="A222" s="27" t="s">
        <v>350</v>
      </c>
      <c r="B222" s="48"/>
      <c r="C222" s="27" t="s">
        <v>9338</v>
      </c>
      <c r="E222" s="18" t="s">
        <v>9347</v>
      </c>
      <c r="F222" s="18" t="s">
        <v>1727</v>
      </c>
    </row>
    <row r="223" spans="1:6" ht="20.100000000000001" customHeight="1">
      <c r="A223" s="27" t="s">
        <v>350</v>
      </c>
      <c r="B223" s="48"/>
      <c r="C223" s="27" t="s">
        <v>9340</v>
      </c>
      <c r="E223" s="18" t="s">
        <v>9349</v>
      </c>
      <c r="F223" s="18" t="s">
        <v>1735</v>
      </c>
    </row>
    <row r="224" spans="1:6" ht="20.100000000000001" customHeight="1">
      <c r="A224" s="27" t="s">
        <v>350</v>
      </c>
      <c r="B224" s="48"/>
      <c r="C224" s="27" t="s">
        <v>9342</v>
      </c>
      <c r="E224" s="18" t="s">
        <v>9351</v>
      </c>
      <c r="F224" s="18" t="s">
        <v>1743</v>
      </c>
    </row>
    <row r="225" spans="1:6" ht="20.100000000000001" customHeight="1">
      <c r="A225" s="27" t="s">
        <v>350</v>
      </c>
      <c r="B225" s="48"/>
      <c r="C225" s="27" t="s">
        <v>9344</v>
      </c>
      <c r="E225" s="18" t="s">
        <v>9353</v>
      </c>
      <c r="F225" s="18" t="s">
        <v>1751</v>
      </c>
    </row>
    <row r="226" spans="1:6" ht="20.100000000000001" customHeight="1">
      <c r="A226" s="27" t="s">
        <v>350</v>
      </c>
      <c r="B226" s="48"/>
      <c r="C226" s="27" t="s">
        <v>9346</v>
      </c>
      <c r="E226" s="18" t="s">
        <v>9355</v>
      </c>
      <c r="F226" s="18" t="s">
        <v>1759</v>
      </c>
    </row>
    <row r="227" spans="1:6" ht="20.100000000000001" customHeight="1">
      <c r="A227" s="29" t="s">
        <v>350</v>
      </c>
      <c r="B227" s="48"/>
      <c r="C227" s="27" t="s">
        <v>9348</v>
      </c>
      <c r="E227" s="18" t="s">
        <v>9357</v>
      </c>
      <c r="F227" s="18" t="s">
        <v>1767</v>
      </c>
    </row>
    <row r="228" spans="1:6" ht="20.100000000000001" customHeight="1">
      <c r="A228" s="27" t="s">
        <v>350</v>
      </c>
      <c r="B228" s="48"/>
      <c r="C228" s="27" t="s">
        <v>9350</v>
      </c>
      <c r="E228" s="18" t="s">
        <v>9359</v>
      </c>
      <c r="F228" s="18" t="s">
        <v>1775</v>
      </c>
    </row>
    <row r="229" spans="1:6" ht="20.100000000000001" customHeight="1">
      <c r="A229" s="27" t="s">
        <v>350</v>
      </c>
      <c r="B229" s="48"/>
      <c r="C229" s="27" t="s">
        <v>9352</v>
      </c>
      <c r="E229" s="18" t="s">
        <v>9360</v>
      </c>
      <c r="F229" s="18" t="s">
        <v>1783</v>
      </c>
    </row>
    <row r="230" spans="1:6" ht="20.100000000000001" customHeight="1">
      <c r="A230" s="27" t="s">
        <v>350</v>
      </c>
      <c r="B230" s="48"/>
      <c r="C230" s="27" t="s">
        <v>9354</v>
      </c>
      <c r="E230" s="18" t="s">
        <v>9361</v>
      </c>
      <c r="F230" s="18" t="s">
        <v>1790</v>
      </c>
    </row>
    <row r="231" spans="1:6" ht="20.100000000000001" customHeight="1">
      <c r="A231" s="27" t="s">
        <v>350</v>
      </c>
      <c r="B231" s="48"/>
      <c r="C231" s="27" t="s">
        <v>9356</v>
      </c>
      <c r="E231" s="18" t="s">
        <v>9363</v>
      </c>
      <c r="F231" s="18" t="s">
        <v>1798</v>
      </c>
    </row>
    <row r="232" spans="1:6" ht="20.100000000000001" customHeight="1">
      <c r="A232" s="27" t="s">
        <v>350</v>
      </c>
      <c r="B232" s="48"/>
      <c r="C232" s="27" t="s">
        <v>9358</v>
      </c>
      <c r="E232" s="18" t="s">
        <v>9365</v>
      </c>
      <c r="F232" s="18" t="s">
        <v>1806</v>
      </c>
    </row>
    <row r="233" spans="1:6" ht="20.100000000000001" customHeight="1">
      <c r="A233" s="27" t="s">
        <v>350</v>
      </c>
      <c r="B233" s="48"/>
      <c r="C233" s="27" t="s">
        <v>8918</v>
      </c>
      <c r="E233" s="18" t="s">
        <v>9367</v>
      </c>
      <c r="F233" s="18" t="s">
        <v>1814</v>
      </c>
    </row>
    <row r="234" spans="1:6" ht="20.100000000000001" customHeight="1">
      <c r="A234" s="27" t="s">
        <v>350</v>
      </c>
      <c r="B234" s="48"/>
      <c r="C234" s="27" t="s">
        <v>8921</v>
      </c>
      <c r="E234" s="18" t="s">
        <v>9369</v>
      </c>
      <c r="F234" s="18" t="s">
        <v>1822</v>
      </c>
    </row>
    <row r="235" spans="1:6" ht="20.100000000000001" customHeight="1">
      <c r="A235" s="27" t="s">
        <v>350</v>
      </c>
      <c r="B235" s="48"/>
      <c r="C235" s="27" t="s">
        <v>9362</v>
      </c>
      <c r="E235" s="18" t="s">
        <v>9371</v>
      </c>
      <c r="F235" s="18" t="s">
        <v>1830</v>
      </c>
    </row>
    <row r="236" spans="1:6" ht="20.100000000000001" customHeight="1">
      <c r="A236" s="27" t="s">
        <v>350</v>
      </c>
      <c r="B236" s="48"/>
      <c r="C236" s="27" t="s">
        <v>9364</v>
      </c>
      <c r="E236" s="18" t="s">
        <v>9373</v>
      </c>
      <c r="F236" s="18" t="s">
        <v>1838</v>
      </c>
    </row>
    <row r="237" spans="1:6" ht="20.100000000000001" customHeight="1">
      <c r="A237" s="27" t="s">
        <v>350</v>
      </c>
      <c r="B237" s="48"/>
      <c r="C237" s="27" t="s">
        <v>9366</v>
      </c>
      <c r="E237" s="18" t="s">
        <v>9375</v>
      </c>
      <c r="F237" s="18" t="s">
        <v>1846</v>
      </c>
    </row>
    <row r="238" spans="1:6" ht="20.100000000000001" customHeight="1">
      <c r="A238" s="27" t="s">
        <v>350</v>
      </c>
      <c r="B238" s="48"/>
      <c r="C238" s="27" t="s">
        <v>9368</v>
      </c>
      <c r="E238" s="18" t="s">
        <v>9377</v>
      </c>
      <c r="F238" s="18" t="s">
        <v>1854</v>
      </c>
    </row>
    <row r="239" spans="1:6" ht="20.100000000000001" customHeight="1">
      <c r="A239" s="27" t="s">
        <v>350</v>
      </c>
      <c r="B239" s="48"/>
      <c r="C239" s="27" t="s">
        <v>9370</v>
      </c>
      <c r="E239" s="18" t="s">
        <v>9379</v>
      </c>
      <c r="F239" s="18" t="s">
        <v>1862</v>
      </c>
    </row>
    <row r="240" spans="1:6" ht="20.100000000000001" customHeight="1">
      <c r="A240" s="27" t="s">
        <v>350</v>
      </c>
      <c r="B240" s="48"/>
      <c r="C240" s="27" t="s">
        <v>9372</v>
      </c>
      <c r="E240" s="18" t="s">
        <v>9381</v>
      </c>
      <c r="F240" s="18" t="s">
        <v>1870</v>
      </c>
    </row>
    <row r="241" spans="1:6" ht="20.100000000000001" customHeight="1">
      <c r="A241" s="27" t="s">
        <v>350</v>
      </c>
      <c r="B241" s="48"/>
      <c r="C241" s="27" t="s">
        <v>9374</v>
      </c>
      <c r="E241" s="18" t="s">
        <v>9383</v>
      </c>
      <c r="F241" s="18" t="s">
        <v>1877</v>
      </c>
    </row>
    <row r="242" spans="1:6" ht="20.100000000000001" customHeight="1">
      <c r="A242" s="27" t="s">
        <v>350</v>
      </c>
      <c r="B242" s="48"/>
      <c r="C242" s="27" t="s">
        <v>9376</v>
      </c>
      <c r="E242" s="18" t="s">
        <v>9385</v>
      </c>
      <c r="F242" s="18" t="s">
        <v>1885</v>
      </c>
    </row>
    <row r="243" spans="1:6" ht="20.100000000000001" customHeight="1">
      <c r="A243" s="27" t="s">
        <v>350</v>
      </c>
      <c r="B243" s="48"/>
      <c r="C243" s="27" t="s">
        <v>9378</v>
      </c>
      <c r="E243" s="18" t="s">
        <v>9387</v>
      </c>
      <c r="F243" s="18" t="s">
        <v>1893</v>
      </c>
    </row>
    <row r="244" spans="1:6" ht="20.100000000000001" customHeight="1">
      <c r="A244" s="27" t="s">
        <v>350</v>
      </c>
      <c r="B244" s="48"/>
      <c r="C244" s="27" t="s">
        <v>9380</v>
      </c>
      <c r="E244" s="18" t="s">
        <v>9389</v>
      </c>
      <c r="F244" s="18" t="s">
        <v>1902</v>
      </c>
    </row>
    <row r="245" spans="1:6" ht="20.100000000000001" customHeight="1">
      <c r="A245" s="27" t="s">
        <v>350</v>
      </c>
      <c r="B245" s="48"/>
      <c r="C245" s="27" t="s">
        <v>9382</v>
      </c>
      <c r="E245" s="18" t="s">
        <v>9391</v>
      </c>
      <c r="F245" s="18" t="s">
        <v>1910</v>
      </c>
    </row>
    <row r="246" spans="1:6" ht="20.100000000000001" customHeight="1">
      <c r="A246" s="27" t="s">
        <v>350</v>
      </c>
      <c r="B246" s="48"/>
      <c r="C246" s="27" t="s">
        <v>9384</v>
      </c>
      <c r="E246" s="18" t="s">
        <v>9393</v>
      </c>
      <c r="F246" s="18" t="s">
        <v>1917</v>
      </c>
    </row>
    <row r="247" spans="1:6" ht="20.100000000000001" customHeight="1">
      <c r="A247" s="27" t="s">
        <v>350</v>
      </c>
      <c r="B247" s="48"/>
      <c r="C247" s="27" t="s">
        <v>9386</v>
      </c>
      <c r="E247" s="18" t="s">
        <v>9395</v>
      </c>
      <c r="F247" s="18" t="s">
        <v>1925</v>
      </c>
    </row>
    <row r="248" spans="1:6" ht="20.100000000000001" customHeight="1">
      <c r="A248" s="27" t="s">
        <v>350</v>
      </c>
      <c r="B248" s="48"/>
      <c r="C248" s="27" t="s">
        <v>9388</v>
      </c>
      <c r="E248" s="18" t="s">
        <v>9397</v>
      </c>
      <c r="F248" s="18" t="s">
        <v>1933</v>
      </c>
    </row>
    <row r="249" spans="1:6" ht="20.100000000000001" customHeight="1">
      <c r="A249" s="27" t="s">
        <v>350</v>
      </c>
      <c r="B249" s="48"/>
      <c r="C249" s="27" t="s">
        <v>9390</v>
      </c>
      <c r="E249" s="18" t="s">
        <v>9399</v>
      </c>
      <c r="F249" s="18" t="s">
        <v>1940</v>
      </c>
    </row>
    <row r="250" spans="1:6" ht="20.100000000000001" customHeight="1">
      <c r="A250" s="27" t="s">
        <v>350</v>
      </c>
      <c r="B250" s="48"/>
      <c r="C250" s="27" t="s">
        <v>9392</v>
      </c>
      <c r="E250" s="18" t="s">
        <v>9401</v>
      </c>
      <c r="F250" s="18" t="s">
        <v>1948</v>
      </c>
    </row>
    <row r="251" spans="1:6" ht="20.100000000000001" customHeight="1">
      <c r="A251" s="27" t="s">
        <v>350</v>
      </c>
      <c r="B251" s="48"/>
      <c r="C251" s="27" t="s">
        <v>9394</v>
      </c>
      <c r="E251" s="18" t="s">
        <v>9403</v>
      </c>
      <c r="F251" s="18" t="s">
        <v>1956</v>
      </c>
    </row>
    <row r="252" spans="1:6" ht="20.100000000000001" customHeight="1">
      <c r="A252" s="27" t="s">
        <v>350</v>
      </c>
      <c r="B252" s="48"/>
      <c r="C252" s="27" t="s">
        <v>9396</v>
      </c>
      <c r="E252" s="18" t="s">
        <v>9405</v>
      </c>
      <c r="F252" s="18" t="s">
        <v>1964</v>
      </c>
    </row>
    <row r="253" spans="1:6" ht="20.100000000000001" customHeight="1">
      <c r="A253" s="27" t="s">
        <v>350</v>
      </c>
      <c r="B253" s="48"/>
      <c r="C253" s="27" t="s">
        <v>9398</v>
      </c>
      <c r="E253" s="18" t="s">
        <v>9407</v>
      </c>
      <c r="F253" s="18" t="s">
        <v>1973</v>
      </c>
    </row>
    <row r="254" spans="1:6" ht="20.100000000000001" customHeight="1">
      <c r="A254" s="27" t="s">
        <v>350</v>
      </c>
      <c r="B254" s="48"/>
      <c r="C254" s="27" t="s">
        <v>9400</v>
      </c>
      <c r="E254" s="18" t="s">
        <v>9409</v>
      </c>
      <c r="F254" s="18" t="s">
        <v>1981</v>
      </c>
    </row>
    <row r="255" spans="1:6" ht="20.100000000000001" customHeight="1">
      <c r="A255" s="27" t="s">
        <v>350</v>
      </c>
      <c r="B255" s="48"/>
      <c r="C255" s="27" t="s">
        <v>9402</v>
      </c>
      <c r="E255" s="18" t="s">
        <v>9411</v>
      </c>
      <c r="F255" s="18" t="s">
        <v>1989</v>
      </c>
    </row>
    <row r="256" spans="1:6" ht="20.100000000000001" customHeight="1">
      <c r="A256" s="27" t="s">
        <v>350</v>
      </c>
      <c r="B256" s="48"/>
      <c r="C256" s="27" t="s">
        <v>9404</v>
      </c>
      <c r="E256" s="18" t="s">
        <v>9413</v>
      </c>
      <c r="F256" s="18" t="s">
        <v>1996</v>
      </c>
    </row>
    <row r="257" spans="1:6" ht="20.100000000000001" customHeight="1">
      <c r="A257" s="27" t="s">
        <v>350</v>
      </c>
      <c r="B257" s="48"/>
      <c r="C257" s="27" t="s">
        <v>9406</v>
      </c>
      <c r="E257" s="18" t="s">
        <v>9415</v>
      </c>
      <c r="F257" s="18" t="s">
        <v>2004</v>
      </c>
    </row>
    <row r="258" spans="1:6" ht="20.100000000000001" customHeight="1">
      <c r="A258" s="27" t="s">
        <v>350</v>
      </c>
      <c r="B258" s="48"/>
      <c r="C258" s="27" t="s">
        <v>9408</v>
      </c>
      <c r="E258" s="18" t="s">
        <v>9417</v>
      </c>
      <c r="F258" s="18" t="s">
        <v>2011</v>
      </c>
    </row>
    <row r="259" spans="1:6" ht="20.100000000000001" customHeight="1">
      <c r="A259" s="27" t="s">
        <v>350</v>
      </c>
      <c r="B259" s="48"/>
      <c r="C259" s="27" t="s">
        <v>9410</v>
      </c>
      <c r="E259" s="18" t="s">
        <v>9419</v>
      </c>
      <c r="F259" s="18" t="s">
        <v>2019</v>
      </c>
    </row>
    <row r="260" spans="1:6" ht="20.100000000000001" customHeight="1">
      <c r="A260" s="27" t="s">
        <v>350</v>
      </c>
      <c r="B260" s="48"/>
      <c r="C260" s="27" t="s">
        <v>9412</v>
      </c>
      <c r="E260" s="18" t="s">
        <v>9421</v>
      </c>
      <c r="F260" s="18" t="s">
        <v>2027</v>
      </c>
    </row>
    <row r="261" spans="1:6" ht="20.100000000000001" customHeight="1">
      <c r="A261" s="29" t="s">
        <v>350</v>
      </c>
      <c r="B261" s="48"/>
      <c r="C261" s="27" t="s">
        <v>9414</v>
      </c>
      <c r="E261" s="18" t="s">
        <v>9423</v>
      </c>
      <c r="F261" s="18" t="s">
        <v>2034</v>
      </c>
    </row>
    <row r="262" spans="1:6" ht="20.100000000000001" customHeight="1">
      <c r="A262" s="29" t="s">
        <v>350</v>
      </c>
      <c r="B262" s="48"/>
      <c r="C262" s="27" t="s">
        <v>9416</v>
      </c>
      <c r="E262" s="18" t="s">
        <v>9425</v>
      </c>
      <c r="F262" s="18" t="s">
        <v>2041</v>
      </c>
    </row>
    <row r="263" spans="1:6" ht="20.100000000000001" customHeight="1">
      <c r="A263" s="27" t="s">
        <v>350</v>
      </c>
      <c r="B263" s="48"/>
      <c r="C263" s="27" t="s">
        <v>9418</v>
      </c>
      <c r="E263" s="18" t="s">
        <v>9427</v>
      </c>
      <c r="F263" s="18" t="s">
        <v>2049</v>
      </c>
    </row>
    <row r="264" spans="1:6" ht="20.100000000000001" customHeight="1">
      <c r="A264" s="27" t="s">
        <v>350</v>
      </c>
      <c r="B264" s="48"/>
      <c r="C264" s="27" t="s">
        <v>9420</v>
      </c>
      <c r="E264" s="18" t="s">
        <v>9429</v>
      </c>
      <c r="F264" s="18" t="s">
        <v>2057</v>
      </c>
    </row>
    <row r="265" spans="1:6" ht="20.100000000000001" customHeight="1">
      <c r="A265" s="27" t="s">
        <v>350</v>
      </c>
      <c r="B265" s="48"/>
      <c r="C265" s="27" t="s">
        <v>9422</v>
      </c>
      <c r="E265" s="18" t="s">
        <v>9431</v>
      </c>
      <c r="F265" s="18" t="s">
        <v>2065</v>
      </c>
    </row>
    <row r="266" spans="1:6" ht="20.100000000000001" customHeight="1">
      <c r="A266" s="27" t="s">
        <v>350</v>
      </c>
      <c r="B266" s="48"/>
      <c r="C266" s="27" t="s">
        <v>9424</v>
      </c>
      <c r="E266" s="18" t="s">
        <v>9433</v>
      </c>
      <c r="F266" s="18" t="s">
        <v>2073</v>
      </c>
    </row>
    <row r="267" spans="1:6" ht="20.100000000000001" customHeight="1">
      <c r="A267" s="27" t="s">
        <v>350</v>
      </c>
      <c r="B267" s="48"/>
      <c r="C267" s="27" t="s">
        <v>9426</v>
      </c>
      <c r="E267" s="18" t="s">
        <v>9435</v>
      </c>
      <c r="F267" s="18" t="s">
        <v>2081</v>
      </c>
    </row>
    <row r="268" spans="1:6" ht="20.100000000000001" customHeight="1">
      <c r="A268" s="27" t="s">
        <v>350</v>
      </c>
      <c r="B268" s="48"/>
      <c r="C268" s="27" t="s">
        <v>9428</v>
      </c>
      <c r="E268" s="18" t="s">
        <v>9437</v>
      </c>
      <c r="F268" s="18" t="s">
        <v>2088</v>
      </c>
    </row>
    <row r="269" spans="1:6" ht="20.100000000000001" customHeight="1">
      <c r="A269" s="27" t="s">
        <v>350</v>
      </c>
      <c r="B269" s="48"/>
      <c r="C269" s="27" t="s">
        <v>9430</v>
      </c>
      <c r="E269" s="18" t="s">
        <v>2791</v>
      </c>
      <c r="F269" s="18" t="s">
        <v>2095</v>
      </c>
    </row>
    <row r="270" spans="1:6" ht="20.100000000000001" customHeight="1">
      <c r="A270" s="27" t="s">
        <v>350</v>
      </c>
      <c r="B270" s="48"/>
      <c r="C270" s="27" t="s">
        <v>9432</v>
      </c>
      <c r="E270" s="18" t="s">
        <v>9440</v>
      </c>
      <c r="F270" s="18" t="s">
        <v>2103</v>
      </c>
    </row>
    <row r="271" spans="1:6" ht="20.100000000000001" customHeight="1">
      <c r="A271" s="27" t="s">
        <v>350</v>
      </c>
      <c r="B271" s="48"/>
      <c r="C271" s="27" t="s">
        <v>9434</v>
      </c>
      <c r="E271" s="18" t="s">
        <v>9442</v>
      </c>
      <c r="F271" s="18" t="s">
        <v>2110</v>
      </c>
    </row>
    <row r="272" spans="1:6" ht="20.100000000000001" customHeight="1">
      <c r="A272" s="27" t="s">
        <v>350</v>
      </c>
      <c r="B272" s="48"/>
      <c r="C272" s="27" t="s">
        <v>9436</v>
      </c>
      <c r="E272" s="18" t="s">
        <v>9444</v>
      </c>
      <c r="F272" s="18" t="s">
        <v>2118</v>
      </c>
    </row>
    <row r="273" spans="1:6" ht="20.100000000000001" customHeight="1">
      <c r="A273" s="27" t="s">
        <v>350</v>
      </c>
      <c r="B273" s="48"/>
      <c r="C273" s="27" t="s">
        <v>9438</v>
      </c>
      <c r="E273" s="18" t="s">
        <v>9446</v>
      </c>
      <c r="F273" s="18" t="s">
        <v>2126</v>
      </c>
    </row>
    <row r="274" spans="1:6" ht="20.100000000000001" customHeight="1">
      <c r="A274" s="27" t="s">
        <v>350</v>
      </c>
      <c r="B274" s="48"/>
      <c r="C274" s="27" t="s">
        <v>9439</v>
      </c>
      <c r="E274" s="18" t="s">
        <v>9448</v>
      </c>
      <c r="F274" s="18" t="s">
        <v>2133</v>
      </c>
    </row>
    <row r="275" spans="1:6" ht="20.100000000000001" customHeight="1">
      <c r="A275" s="27" t="s">
        <v>350</v>
      </c>
      <c r="B275" s="48"/>
      <c r="C275" s="27" t="s">
        <v>9441</v>
      </c>
      <c r="E275" s="18" t="s">
        <v>9450</v>
      </c>
      <c r="F275" s="18" t="s">
        <v>2140</v>
      </c>
    </row>
    <row r="276" spans="1:6" ht="20.100000000000001" customHeight="1">
      <c r="A276" s="27" t="s">
        <v>350</v>
      </c>
      <c r="B276" s="48"/>
      <c r="C276" s="27" t="s">
        <v>9443</v>
      </c>
      <c r="E276" s="18" t="s">
        <v>9452</v>
      </c>
      <c r="F276" s="18" t="s">
        <v>2147</v>
      </c>
    </row>
    <row r="277" spans="1:6" ht="20.100000000000001" customHeight="1">
      <c r="A277" s="27" t="s">
        <v>350</v>
      </c>
      <c r="B277" s="48"/>
      <c r="C277" s="27" t="s">
        <v>9445</v>
      </c>
      <c r="E277" s="18" t="s">
        <v>9454</v>
      </c>
      <c r="F277" s="18" t="s">
        <v>2155</v>
      </c>
    </row>
    <row r="278" spans="1:6" ht="20.100000000000001" customHeight="1">
      <c r="A278" s="27" t="s">
        <v>350</v>
      </c>
      <c r="B278" s="48"/>
      <c r="C278" s="27" t="s">
        <v>9447</v>
      </c>
      <c r="E278" s="18" t="s">
        <v>9456</v>
      </c>
      <c r="F278" s="18" t="s">
        <v>2163</v>
      </c>
    </row>
    <row r="279" spans="1:6" ht="20.100000000000001" customHeight="1">
      <c r="A279" s="27" t="s">
        <v>350</v>
      </c>
      <c r="B279" s="48"/>
      <c r="C279" s="27" t="s">
        <v>9449</v>
      </c>
      <c r="E279" s="18" t="s">
        <v>9458</v>
      </c>
      <c r="F279" s="18" t="s">
        <v>2171</v>
      </c>
    </row>
    <row r="280" spans="1:6" ht="20.100000000000001" customHeight="1">
      <c r="A280" s="27" t="s">
        <v>350</v>
      </c>
      <c r="B280" s="48"/>
      <c r="C280" s="27" t="s">
        <v>9451</v>
      </c>
      <c r="E280" s="18" t="s">
        <v>9460</v>
      </c>
      <c r="F280" s="18" t="s">
        <v>2178</v>
      </c>
    </row>
    <row r="281" spans="1:6" ht="20.100000000000001" customHeight="1">
      <c r="A281" s="27" t="s">
        <v>350</v>
      </c>
      <c r="B281" s="48"/>
      <c r="C281" s="27" t="s">
        <v>9453</v>
      </c>
      <c r="E281" s="18" t="s">
        <v>9462</v>
      </c>
      <c r="F281" s="18" t="s">
        <v>2186</v>
      </c>
    </row>
    <row r="282" spans="1:6" ht="20.100000000000001" customHeight="1">
      <c r="A282" s="27" t="s">
        <v>350</v>
      </c>
      <c r="B282" s="48"/>
      <c r="C282" s="27" t="s">
        <v>9455</v>
      </c>
      <c r="E282" s="18" t="s">
        <v>9464</v>
      </c>
      <c r="F282" s="18" t="s">
        <v>2193</v>
      </c>
    </row>
    <row r="283" spans="1:6" ht="20.100000000000001" customHeight="1">
      <c r="A283" s="27" t="s">
        <v>350</v>
      </c>
      <c r="B283" s="48"/>
      <c r="C283" s="27" t="s">
        <v>9457</v>
      </c>
      <c r="E283" s="18" t="s">
        <v>9466</v>
      </c>
      <c r="F283" s="18" t="s">
        <v>2207</v>
      </c>
    </row>
    <row r="284" spans="1:6" ht="20.100000000000001" customHeight="1">
      <c r="A284" s="27" t="s">
        <v>350</v>
      </c>
      <c r="B284" s="48"/>
      <c r="C284" s="27" t="s">
        <v>9459</v>
      </c>
      <c r="E284" s="18" t="s">
        <v>9468</v>
      </c>
      <c r="F284" s="18" t="s">
        <v>2214</v>
      </c>
    </row>
    <row r="285" spans="1:6" ht="20.100000000000001" customHeight="1">
      <c r="A285" s="27" t="s">
        <v>350</v>
      </c>
      <c r="B285" s="48"/>
      <c r="C285" s="27" t="s">
        <v>9461</v>
      </c>
      <c r="E285" s="18" t="s">
        <v>9470</v>
      </c>
      <c r="F285" s="18" t="s">
        <v>2221</v>
      </c>
    </row>
    <row r="286" spans="1:6" ht="20.100000000000001" customHeight="1">
      <c r="A286" s="27" t="s">
        <v>350</v>
      </c>
      <c r="B286" s="48"/>
      <c r="C286" s="27" t="s">
        <v>9463</v>
      </c>
      <c r="E286" s="18" t="s">
        <v>9472</v>
      </c>
      <c r="F286" s="18" t="s">
        <v>2229</v>
      </c>
    </row>
    <row r="287" spans="1:6" ht="20.100000000000001" customHeight="1">
      <c r="A287" s="29" t="s">
        <v>350</v>
      </c>
      <c r="B287" s="48"/>
      <c r="C287" s="27" t="s">
        <v>9465</v>
      </c>
      <c r="E287" s="18" t="s">
        <v>9474</v>
      </c>
      <c r="F287" s="18" t="s">
        <v>2236</v>
      </c>
    </row>
    <row r="288" spans="1:6" ht="20.100000000000001" customHeight="1">
      <c r="A288" s="29" t="s">
        <v>350</v>
      </c>
      <c r="B288" s="48"/>
      <c r="C288" s="27" t="s">
        <v>9467</v>
      </c>
      <c r="E288" s="18" t="s">
        <v>9476</v>
      </c>
      <c r="F288" s="18" t="s">
        <v>2243</v>
      </c>
    </row>
    <row r="289" spans="1:6" ht="20.100000000000001" customHeight="1">
      <c r="A289" s="27" t="s">
        <v>350</v>
      </c>
      <c r="B289" s="48"/>
      <c r="C289" s="27" t="s">
        <v>9469</v>
      </c>
      <c r="E289" s="18" t="s">
        <v>9478</v>
      </c>
      <c r="F289" s="18" t="s">
        <v>2251</v>
      </c>
    </row>
    <row r="290" spans="1:6" ht="20.100000000000001" customHeight="1">
      <c r="A290" s="27" t="s">
        <v>350</v>
      </c>
      <c r="B290" s="48"/>
      <c r="C290" s="27" t="s">
        <v>9471</v>
      </c>
      <c r="E290" s="18" t="s">
        <v>9480</v>
      </c>
      <c r="F290" s="18" t="s">
        <v>2259</v>
      </c>
    </row>
    <row r="291" spans="1:6" ht="20.100000000000001" customHeight="1">
      <c r="A291" s="27" t="s">
        <v>350</v>
      </c>
      <c r="B291" s="48"/>
      <c r="C291" s="27" t="s">
        <v>9473</v>
      </c>
      <c r="E291" s="18" t="s">
        <v>9482</v>
      </c>
      <c r="F291" s="18" t="s">
        <v>2267</v>
      </c>
    </row>
    <row r="292" spans="1:6" ht="20.100000000000001" customHeight="1">
      <c r="A292" s="27" t="s">
        <v>350</v>
      </c>
      <c r="B292" s="48"/>
      <c r="C292" s="27" t="s">
        <v>9475</v>
      </c>
      <c r="E292" s="18" t="s">
        <v>9484</v>
      </c>
      <c r="F292" s="18" t="s">
        <v>2274</v>
      </c>
    </row>
    <row r="293" spans="1:6" ht="20.100000000000001" customHeight="1">
      <c r="A293" s="27" t="s">
        <v>350</v>
      </c>
      <c r="B293" s="48"/>
      <c r="C293" s="27" t="s">
        <v>9477</v>
      </c>
      <c r="E293" s="18" t="s">
        <v>9486</v>
      </c>
      <c r="F293" s="18" t="s">
        <v>2282</v>
      </c>
    </row>
    <row r="294" spans="1:6" ht="20.100000000000001" customHeight="1">
      <c r="A294" s="27" t="s">
        <v>350</v>
      </c>
      <c r="B294" s="48"/>
      <c r="C294" s="27" t="s">
        <v>9479</v>
      </c>
      <c r="E294" s="18" t="s">
        <v>9488</v>
      </c>
      <c r="F294" s="18" t="s">
        <v>2290</v>
      </c>
    </row>
    <row r="295" spans="1:6" ht="20.100000000000001" customHeight="1">
      <c r="A295" s="27" t="s">
        <v>350</v>
      </c>
      <c r="B295" s="48"/>
      <c r="C295" s="27" t="s">
        <v>9481</v>
      </c>
      <c r="E295" s="18" t="s">
        <v>9490</v>
      </c>
      <c r="F295" s="18" t="s">
        <v>2297</v>
      </c>
    </row>
    <row r="296" spans="1:6" ht="20.100000000000001" customHeight="1">
      <c r="A296" s="27" t="s">
        <v>350</v>
      </c>
      <c r="B296" s="48"/>
      <c r="C296" s="27" t="s">
        <v>9483</v>
      </c>
      <c r="E296" s="18" t="s">
        <v>9492</v>
      </c>
      <c r="F296" s="18" t="s">
        <v>2304</v>
      </c>
    </row>
    <row r="297" spans="1:6" ht="20.100000000000001" customHeight="1">
      <c r="A297" s="27" t="s">
        <v>350</v>
      </c>
      <c r="B297" s="48"/>
      <c r="C297" s="27" t="s">
        <v>9485</v>
      </c>
      <c r="E297" s="18" t="s">
        <v>9494</v>
      </c>
      <c r="F297" s="18" t="s">
        <v>2312</v>
      </c>
    </row>
    <row r="298" spans="1:6" ht="20.100000000000001" customHeight="1">
      <c r="A298" s="27" t="s">
        <v>350</v>
      </c>
      <c r="B298" s="48"/>
      <c r="C298" s="27" t="s">
        <v>9487</v>
      </c>
      <c r="E298" s="18" t="s">
        <v>9496</v>
      </c>
      <c r="F298" s="18" t="s">
        <v>2320</v>
      </c>
    </row>
    <row r="299" spans="1:6" ht="20.100000000000001" customHeight="1">
      <c r="A299" s="27" t="s">
        <v>350</v>
      </c>
      <c r="B299" s="48"/>
      <c r="C299" s="27" t="s">
        <v>9489</v>
      </c>
      <c r="E299" s="18" t="s">
        <v>9498</v>
      </c>
      <c r="F299" s="18" t="s">
        <v>2328</v>
      </c>
    </row>
    <row r="300" spans="1:6" ht="20.100000000000001" customHeight="1">
      <c r="A300" s="27" t="s">
        <v>350</v>
      </c>
      <c r="B300" s="48"/>
      <c r="C300" s="27" t="s">
        <v>9491</v>
      </c>
      <c r="E300" s="18" t="s">
        <v>9500</v>
      </c>
      <c r="F300" s="18" t="s">
        <v>2336</v>
      </c>
    </row>
    <row r="301" spans="1:6" ht="20.100000000000001" customHeight="1">
      <c r="A301" s="27" t="s">
        <v>350</v>
      </c>
      <c r="B301" s="48"/>
      <c r="C301" s="27" t="s">
        <v>9493</v>
      </c>
      <c r="E301" s="18" t="s">
        <v>9502</v>
      </c>
      <c r="F301" s="18" t="s">
        <v>2344</v>
      </c>
    </row>
    <row r="302" spans="1:6" ht="20.100000000000001" customHeight="1">
      <c r="A302" s="27" t="s">
        <v>350</v>
      </c>
      <c r="B302" s="48"/>
      <c r="C302" s="27" t="s">
        <v>9495</v>
      </c>
      <c r="E302" s="18" t="s">
        <v>9504</v>
      </c>
      <c r="F302" s="18" t="s">
        <v>2351</v>
      </c>
    </row>
    <row r="303" spans="1:6" ht="20.100000000000001" customHeight="1">
      <c r="A303" s="27" t="s">
        <v>350</v>
      </c>
      <c r="B303" s="48"/>
      <c r="C303" s="27" t="s">
        <v>9497</v>
      </c>
      <c r="E303" s="18" t="s">
        <v>9506</v>
      </c>
      <c r="F303" s="18" t="s">
        <v>2358</v>
      </c>
    </row>
    <row r="304" spans="1:6" ht="20.100000000000001" customHeight="1">
      <c r="A304" s="27" t="s">
        <v>350</v>
      </c>
      <c r="B304" s="48"/>
      <c r="C304" s="27" t="s">
        <v>9499</v>
      </c>
      <c r="E304" s="18" t="s">
        <v>9508</v>
      </c>
      <c r="F304" s="18" t="s">
        <v>2365</v>
      </c>
    </row>
    <row r="305" spans="1:6" ht="20.100000000000001" customHeight="1">
      <c r="A305" s="27" t="s">
        <v>350</v>
      </c>
      <c r="B305" s="48"/>
      <c r="C305" s="27" t="s">
        <v>9501</v>
      </c>
      <c r="E305" s="18" t="s">
        <v>9510</v>
      </c>
      <c r="F305" s="18" t="s">
        <v>2372</v>
      </c>
    </row>
    <row r="306" spans="1:6" ht="20.100000000000001" customHeight="1">
      <c r="A306" s="27" t="s">
        <v>350</v>
      </c>
      <c r="B306" s="48"/>
      <c r="C306" s="27" t="s">
        <v>9503</v>
      </c>
      <c r="E306" s="18" t="s">
        <v>9512</v>
      </c>
      <c r="F306" s="18" t="s">
        <v>2379</v>
      </c>
    </row>
    <row r="307" spans="1:6" ht="20.100000000000001" customHeight="1">
      <c r="A307" s="27" t="s">
        <v>350</v>
      </c>
      <c r="B307" s="48"/>
      <c r="C307" s="27" t="s">
        <v>9505</v>
      </c>
      <c r="E307" s="18" t="s">
        <v>9514</v>
      </c>
      <c r="F307" s="18" t="s">
        <v>2386</v>
      </c>
    </row>
    <row r="308" spans="1:6" ht="20.100000000000001" customHeight="1">
      <c r="A308" s="27" t="s">
        <v>350</v>
      </c>
      <c r="B308" s="48"/>
      <c r="C308" s="27" t="s">
        <v>9507</v>
      </c>
      <c r="E308" s="18" t="s">
        <v>9516</v>
      </c>
      <c r="F308" s="18" t="s">
        <v>2393</v>
      </c>
    </row>
    <row r="309" spans="1:6" ht="20.100000000000001" customHeight="1">
      <c r="A309" s="27" t="s">
        <v>350</v>
      </c>
      <c r="B309" s="48"/>
      <c r="C309" s="27" t="s">
        <v>9509</v>
      </c>
      <c r="E309" s="18" t="s">
        <v>9518</v>
      </c>
      <c r="F309" s="18" t="s">
        <v>2400</v>
      </c>
    </row>
    <row r="310" spans="1:6" ht="20.100000000000001" customHeight="1">
      <c r="A310" s="27" t="s">
        <v>350</v>
      </c>
      <c r="B310" s="48"/>
      <c r="C310" s="27" t="s">
        <v>9511</v>
      </c>
      <c r="E310" s="18" t="s">
        <v>9520</v>
      </c>
      <c r="F310" s="18" t="s">
        <v>2408</v>
      </c>
    </row>
    <row r="311" spans="1:6" ht="20.100000000000001" customHeight="1">
      <c r="A311" s="27" t="s">
        <v>350</v>
      </c>
      <c r="B311" s="48"/>
      <c r="C311" s="27" t="s">
        <v>9513</v>
      </c>
      <c r="E311" s="18" t="s">
        <v>9522</v>
      </c>
      <c r="F311" s="18" t="s">
        <v>2416</v>
      </c>
    </row>
    <row r="312" spans="1:6" ht="20.100000000000001" customHeight="1">
      <c r="A312" s="27" t="s">
        <v>350</v>
      </c>
      <c r="B312" s="48"/>
      <c r="C312" s="27" t="s">
        <v>9515</v>
      </c>
      <c r="E312" s="18" t="s">
        <v>9524</v>
      </c>
      <c r="F312" s="18" t="s">
        <v>2424</v>
      </c>
    </row>
    <row r="313" spans="1:6" ht="20.100000000000001" customHeight="1">
      <c r="A313" s="27" t="s">
        <v>350</v>
      </c>
      <c r="B313" s="48"/>
      <c r="C313" s="27" t="s">
        <v>9517</v>
      </c>
      <c r="E313" s="18" t="s">
        <v>9526</v>
      </c>
      <c r="F313" s="18" t="s">
        <v>2431</v>
      </c>
    </row>
    <row r="314" spans="1:6" ht="20.100000000000001" customHeight="1">
      <c r="A314" s="27" t="s">
        <v>350</v>
      </c>
      <c r="B314" s="48"/>
      <c r="C314" s="27" t="s">
        <v>9519</v>
      </c>
      <c r="E314" s="18" t="s">
        <v>9528</v>
      </c>
      <c r="F314" s="18" t="s">
        <v>2439</v>
      </c>
    </row>
    <row r="315" spans="1:6" ht="20.100000000000001" customHeight="1">
      <c r="A315" s="27" t="s">
        <v>350</v>
      </c>
      <c r="B315" s="48"/>
      <c r="C315" s="27" t="s">
        <v>9521</v>
      </c>
      <c r="E315" s="18" t="s">
        <v>9530</v>
      </c>
      <c r="F315" s="18" t="s">
        <v>2447</v>
      </c>
    </row>
    <row r="316" spans="1:6" ht="20.100000000000001" customHeight="1">
      <c r="A316" s="27" t="s">
        <v>350</v>
      </c>
      <c r="B316" s="48"/>
      <c r="C316" s="27" t="s">
        <v>9523</v>
      </c>
      <c r="E316" s="18" t="s">
        <v>9532</v>
      </c>
      <c r="F316" s="18" t="s">
        <v>2455</v>
      </c>
    </row>
    <row r="317" spans="1:6" ht="20.100000000000001" customHeight="1">
      <c r="A317" s="27" t="s">
        <v>350</v>
      </c>
      <c r="B317" s="48"/>
      <c r="C317" s="27" t="s">
        <v>9525</v>
      </c>
      <c r="E317" s="18" t="s">
        <v>9534</v>
      </c>
      <c r="F317" s="18" t="s">
        <v>2462</v>
      </c>
    </row>
    <row r="318" spans="1:6" ht="20.100000000000001" customHeight="1">
      <c r="A318" s="27" t="s">
        <v>350</v>
      </c>
      <c r="B318" s="48"/>
      <c r="C318" s="27" t="s">
        <v>9527</v>
      </c>
      <c r="E318" s="18" t="s">
        <v>9536</v>
      </c>
      <c r="F318" s="18" t="s">
        <v>2470</v>
      </c>
    </row>
    <row r="319" spans="1:6" ht="20.100000000000001" customHeight="1">
      <c r="A319" s="27" t="s">
        <v>350</v>
      </c>
      <c r="B319" s="48"/>
      <c r="C319" s="27" t="s">
        <v>9529</v>
      </c>
      <c r="E319" s="18" t="s">
        <v>9538</v>
      </c>
      <c r="F319" s="18" t="s">
        <v>2478</v>
      </c>
    </row>
    <row r="320" spans="1:6" ht="20.100000000000001" customHeight="1">
      <c r="A320" s="27" t="s">
        <v>350</v>
      </c>
      <c r="B320" s="48"/>
      <c r="C320" s="27" t="s">
        <v>9531</v>
      </c>
      <c r="E320" s="18" t="s">
        <v>9540</v>
      </c>
      <c r="F320" s="18" t="s">
        <v>2486</v>
      </c>
    </row>
    <row r="321" spans="1:6" ht="20.100000000000001" customHeight="1">
      <c r="A321" s="29" t="s">
        <v>350</v>
      </c>
      <c r="B321" s="48"/>
      <c r="C321" s="27" t="s">
        <v>9533</v>
      </c>
      <c r="E321" s="18" t="s">
        <v>9542</v>
      </c>
      <c r="F321" s="18" t="s">
        <v>2494</v>
      </c>
    </row>
    <row r="322" spans="1:6" ht="20.100000000000001" customHeight="1">
      <c r="A322" s="27" t="s">
        <v>350</v>
      </c>
      <c r="B322" s="48"/>
      <c r="C322" s="27" t="s">
        <v>9535</v>
      </c>
      <c r="E322" s="18" t="s">
        <v>9544</v>
      </c>
      <c r="F322" s="18" t="s">
        <v>2502</v>
      </c>
    </row>
    <row r="323" spans="1:6" ht="20.100000000000001" customHeight="1">
      <c r="A323" s="27" t="s">
        <v>350</v>
      </c>
      <c r="B323" s="48"/>
      <c r="C323" s="27" t="s">
        <v>9537</v>
      </c>
      <c r="E323" s="18" t="s">
        <v>9546</v>
      </c>
      <c r="F323" s="18" t="s">
        <v>2509</v>
      </c>
    </row>
    <row r="324" spans="1:6" ht="20.100000000000001" customHeight="1">
      <c r="A324" s="27" t="s">
        <v>350</v>
      </c>
      <c r="B324" s="48"/>
      <c r="C324" s="27" t="s">
        <v>9539</v>
      </c>
      <c r="E324" s="18" t="s">
        <v>9548</v>
      </c>
      <c r="F324" s="18" t="s">
        <v>2517</v>
      </c>
    </row>
    <row r="325" spans="1:6" ht="20.100000000000001" customHeight="1">
      <c r="A325" s="27" t="s">
        <v>350</v>
      </c>
      <c r="B325" s="48"/>
      <c r="C325" s="27" t="s">
        <v>9541</v>
      </c>
      <c r="E325" s="18" t="s">
        <v>9550</v>
      </c>
      <c r="F325" s="18" t="s">
        <v>2524</v>
      </c>
    </row>
    <row r="326" spans="1:6" ht="20.100000000000001" customHeight="1">
      <c r="A326" s="27" t="s">
        <v>350</v>
      </c>
      <c r="B326" s="48"/>
      <c r="C326" s="27" t="s">
        <v>9543</v>
      </c>
      <c r="E326" s="18" t="s">
        <v>9552</v>
      </c>
      <c r="F326" s="18" t="s">
        <v>2532</v>
      </c>
    </row>
    <row r="327" spans="1:6" ht="20.100000000000001" customHeight="1">
      <c r="A327" s="27" t="s">
        <v>350</v>
      </c>
      <c r="B327" s="48"/>
      <c r="C327" s="27" t="s">
        <v>9545</v>
      </c>
      <c r="E327" s="18" t="s">
        <v>9554</v>
      </c>
      <c r="F327" s="18" t="s">
        <v>2540</v>
      </c>
    </row>
    <row r="328" spans="1:6" ht="20.100000000000001" customHeight="1">
      <c r="A328" s="27" t="s">
        <v>350</v>
      </c>
      <c r="B328" s="48"/>
      <c r="C328" s="27" t="s">
        <v>9547</v>
      </c>
      <c r="E328" s="18" t="s">
        <v>9556</v>
      </c>
      <c r="F328" s="18" t="s">
        <v>2548</v>
      </c>
    </row>
    <row r="329" spans="1:6" ht="20.100000000000001" customHeight="1">
      <c r="A329" s="29" t="s">
        <v>350</v>
      </c>
      <c r="B329" s="48"/>
      <c r="C329" s="27" t="s">
        <v>9549</v>
      </c>
      <c r="E329" s="18" t="s">
        <v>9558</v>
      </c>
      <c r="F329" s="18" t="s">
        <v>2556</v>
      </c>
    </row>
    <row r="330" spans="1:6" ht="20.100000000000001" customHeight="1">
      <c r="A330" s="27" t="s">
        <v>350</v>
      </c>
      <c r="B330" s="48"/>
      <c r="C330" s="27" t="s">
        <v>9551</v>
      </c>
      <c r="E330" s="18" t="s">
        <v>9560</v>
      </c>
      <c r="F330" s="18" t="s">
        <v>2564</v>
      </c>
    </row>
    <row r="331" spans="1:6" ht="20.100000000000001" customHeight="1">
      <c r="A331" s="27" t="s">
        <v>350</v>
      </c>
      <c r="B331" s="48"/>
      <c r="C331" s="27" t="s">
        <v>9553</v>
      </c>
      <c r="E331" s="18" t="s">
        <v>9562</v>
      </c>
      <c r="F331" s="18" t="s">
        <v>2572</v>
      </c>
    </row>
    <row r="332" spans="1:6" ht="20.100000000000001" customHeight="1">
      <c r="A332" s="27" t="s">
        <v>350</v>
      </c>
      <c r="B332" s="48"/>
      <c r="C332" s="27" t="s">
        <v>9555</v>
      </c>
      <c r="E332" s="18" t="s">
        <v>9564</v>
      </c>
      <c r="F332" s="18" t="s">
        <v>2580</v>
      </c>
    </row>
    <row r="333" spans="1:6" ht="20.100000000000001" customHeight="1">
      <c r="A333" s="27" t="s">
        <v>350</v>
      </c>
      <c r="B333" s="48"/>
      <c r="C333" s="27" t="s">
        <v>9557</v>
      </c>
      <c r="E333" s="18" t="s">
        <v>9566</v>
      </c>
      <c r="F333" s="18" t="s">
        <v>2588</v>
      </c>
    </row>
    <row r="334" spans="1:6" ht="20.100000000000001" customHeight="1">
      <c r="A334" s="27" t="s">
        <v>350</v>
      </c>
      <c r="B334" s="48"/>
      <c r="C334" s="27" t="s">
        <v>9559</v>
      </c>
      <c r="E334" s="18" t="s">
        <v>9567</v>
      </c>
      <c r="F334" s="18" t="s">
        <v>2596</v>
      </c>
    </row>
    <row r="335" spans="1:6" ht="20.100000000000001" customHeight="1">
      <c r="A335" s="27" t="s">
        <v>350</v>
      </c>
      <c r="B335" s="48"/>
      <c r="C335" s="27" t="s">
        <v>9561</v>
      </c>
      <c r="E335" s="18" t="s">
        <v>9568</v>
      </c>
      <c r="F335" s="18" t="s">
        <v>2604</v>
      </c>
    </row>
    <row r="336" spans="1:6" ht="20.100000000000001" customHeight="1">
      <c r="A336" s="27" t="s">
        <v>350</v>
      </c>
      <c r="B336" s="48"/>
      <c r="C336" s="27" t="s">
        <v>9563</v>
      </c>
      <c r="E336" s="18" t="s">
        <v>9570</v>
      </c>
      <c r="F336" s="18" t="s">
        <v>2611</v>
      </c>
    </row>
    <row r="337" spans="1:6" ht="20.100000000000001" customHeight="1">
      <c r="A337" s="27" t="s">
        <v>350</v>
      </c>
      <c r="B337" s="48"/>
      <c r="C337" s="27" t="s">
        <v>9565</v>
      </c>
      <c r="E337" s="18" t="s">
        <v>9572</v>
      </c>
      <c r="F337" s="18" t="s">
        <v>2618</v>
      </c>
    </row>
    <row r="338" spans="1:6" ht="20.100000000000001" customHeight="1">
      <c r="A338" s="27" t="s">
        <v>350</v>
      </c>
      <c r="B338" s="48"/>
      <c r="C338" s="27" t="s">
        <v>8896</v>
      </c>
      <c r="E338" s="18" t="s">
        <v>9574</v>
      </c>
      <c r="F338" s="18" t="s">
        <v>2625</v>
      </c>
    </row>
    <row r="339" spans="1:6" ht="20.100000000000001" customHeight="1">
      <c r="A339" s="27" t="s">
        <v>350</v>
      </c>
      <c r="B339" s="48"/>
      <c r="C339" s="27" t="s">
        <v>8899</v>
      </c>
      <c r="E339" s="18" t="s">
        <v>9576</v>
      </c>
      <c r="F339" s="18" t="s">
        <v>2633</v>
      </c>
    </row>
    <row r="340" spans="1:6" ht="20.100000000000001" customHeight="1">
      <c r="A340" s="27" t="s">
        <v>350</v>
      </c>
      <c r="B340" s="48"/>
      <c r="C340" s="27" t="s">
        <v>9569</v>
      </c>
      <c r="E340" s="18" t="s">
        <v>9578</v>
      </c>
      <c r="F340" s="18" t="s">
        <v>2640</v>
      </c>
    </row>
    <row r="341" spans="1:6" ht="20.100000000000001" customHeight="1">
      <c r="A341" s="27" t="s">
        <v>350</v>
      </c>
      <c r="B341" s="48"/>
      <c r="C341" s="27" t="s">
        <v>9571</v>
      </c>
      <c r="E341" s="18" t="s">
        <v>9580</v>
      </c>
      <c r="F341" s="18" t="s">
        <v>2647</v>
      </c>
    </row>
    <row r="342" spans="1:6" ht="20.100000000000001" customHeight="1">
      <c r="A342" s="27" t="s">
        <v>350</v>
      </c>
      <c r="B342" s="48"/>
      <c r="C342" s="27" t="s">
        <v>9573</v>
      </c>
      <c r="E342" s="18" t="s">
        <v>9582</v>
      </c>
      <c r="F342" s="18" t="s">
        <v>2654</v>
      </c>
    </row>
    <row r="343" spans="1:6" ht="20.100000000000001" customHeight="1">
      <c r="A343" s="27" t="s">
        <v>350</v>
      </c>
      <c r="B343" s="48"/>
      <c r="C343" s="27" t="s">
        <v>9575</v>
      </c>
      <c r="E343" s="18" t="s">
        <v>9584</v>
      </c>
      <c r="F343" s="18" t="s">
        <v>2662</v>
      </c>
    </row>
    <row r="344" spans="1:6" ht="20.100000000000001" customHeight="1">
      <c r="A344" s="27" t="s">
        <v>350</v>
      </c>
      <c r="B344" s="48"/>
      <c r="C344" s="27" t="s">
        <v>9577</v>
      </c>
      <c r="E344" s="18" t="s">
        <v>9586</v>
      </c>
      <c r="F344" s="18" t="s">
        <v>2670</v>
      </c>
    </row>
    <row r="345" spans="1:6" ht="20.100000000000001" customHeight="1">
      <c r="A345" s="27" t="s">
        <v>350</v>
      </c>
      <c r="B345" s="48"/>
      <c r="C345" s="27" t="s">
        <v>9579</v>
      </c>
      <c r="E345" s="18" t="s">
        <v>9588</v>
      </c>
      <c r="F345" s="18" t="s">
        <v>2677</v>
      </c>
    </row>
    <row r="346" spans="1:6" ht="20.100000000000001" customHeight="1">
      <c r="A346" s="27" t="s">
        <v>350</v>
      </c>
      <c r="B346" s="48"/>
      <c r="C346" s="27" t="s">
        <v>9581</v>
      </c>
      <c r="E346" s="18" t="s">
        <v>9590</v>
      </c>
      <c r="F346" s="18" t="s">
        <v>2685</v>
      </c>
    </row>
    <row r="347" spans="1:6" ht="20.100000000000001" customHeight="1">
      <c r="A347" s="27" t="s">
        <v>350</v>
      </c>
      <c r="B347" s="48"/>
      <c r="C347" s="27" t="s">
        <v>9583</v>
      </c>
      <c r="E347" s="18" t="s">
        <v>9592</v>
      </c>
      <c r="F347" s="18" t="s">
        <v>2693</v>
      </c>
    </row>
    <row r="348" spans="1:6" ht="20.100000000000001" customHeight="1">
      <c r="A348" s="27" t="s">
        <v>350</v>
      </c>
      <c r="B348" s="48"/>
      <c r="C348" s="27" t="s">
        <v>9585</v>
      </c>
      <c r="E348" s="18" t="s">
        <v>9594</v>
      </c>
      <c r="F348" s="18" t="s">
        <v>2701</v>
      </c>
    </row>
    <row r="349" spans="1:6" ht="20.100000000000001" customHeight="1">
      <c r="A349" s="27" t="s">
        <v>350</v>
      </c>
      <c r="B349" s="48"/>
      <c r="C349" s="27" t="s">
        <v>9587</v>
      </c>
      <c r="E349" s="18" t="s">
        <v>9596</v>
      </c>
      <c r="F349" s="18" t="s">
        <v>2709</v>
      </c>
    </row>
    <row r="350" spans="1:6" ht="20.100000000000001" customHeight="1">
      <c r="A350" s="27" t="s">
        <v>350</v>
      </c>
      <c r="B350" s="48"/>
      <c r="C350" s="27" t="s">
        <v>9589</v>
      </c>
      <c r="E350" s="18" t="s">
        <v>9598</v>
      </c>
      <c r="F350" s="18" t="s">
        <v>2717</v>
      </c>
    </row>
    <row r="351" spans="1:6" ht="20.100000000000001" customHeight="1">
      <c r="A351" s="27" t="s">
        <v>350</v>
      </c>
      <c r="B351" s="48"/>
      <c r="C351" s="27" t="s">
        <v>9591</v>
      </c>
      <c r="E351" s="18" t="s">
        <v>9600</v>
      </c>
      <c r="F351" s="18" t="s">
        <v>2724</v>
      </c>
    </row>
    <row r="352" spans="1:6" ht="20.100000000000001" customHeight="1">
      <c r="A352" s="27" t="s">
        <v>350</v>
      </c>
      <c r="B352" s="48"/>
      <c r="C352" s="27" t="s">
        <v>9593</v>
      </c>
      <c r="E352" s="18" t="s">
        <v>9602</v>
      </c>
      <c r="F352" s="18" t="s">
        <v>2732</v>
      </c>
    </row>
    <row r="353" spans="1:6" ht="20.100000000000001" customHeight="1">
      <c r="A353" s="27" t="s">
        <v>350</v>
      </c>
      <c r="B353" s="48"/>
      <c r="C353" s="27" t="s">
        <v>9595</v>
      </c>
      <c r="E353" s="18" t="s">
        <v>9604</v>
      </c>
      <c r="F353" s="18" t="s">
        <v>2739</v>
      </c>
    </row>
    <row r="354" spans="1:6" ht="20.100000000000001" customHeight="1">
      <c r="A354" s="27" t="s">
        <v>350</v>
      </c>
      <c r="B354" s="48"/>
      <c r="C354" s="27" t="s">
        <v>9597</v>
      </c>
      <c r="E354" s="18" t="s">
        <v>9606</v>
      </c>
      <c r="F354" s="18" t="s">
        <v>2745</v>
      </c>
    </row>
    <row r="355" spans="1:6" ht="20.100000000000001" customHeight="1">
      <c r="A355" s="27" t="s">
        <v>350</v>
      </c>
      <c r="B355" s="48"/>
      <c r="C355" s="27" t="s">
        <v>9599</v>
      </c>
      <c r="E355" s="18" t="s">
        <v>9608</v>
      </c>
      <c r="F355" s="18" t="s">
        <v>2750</v>
      </c>
    </row>
    <row r="356" spans="1:6" ht="20.100000000000001" customHeight="1">
      <c r="A356" s="27" t="s">
        <v>350</v>
      </c>
      <c r="B356" s="48"/>
      <c r="C356" s="27" t="s">
        <v>9601</v>
      </c>
      <c r="E356" s="18" t="s">
        <v>9610</v>
      </c>
      <c r="F356" s="18" t="s">
        <v>2757</v>
      </c>
    </row>
    <row r="357" spans="1:6" ht="20.100000000000001" customHeight="1">
      <c r="A357" s="27" t="s">
        <v>350</v>
      </c>
      <c r="B357" s="48"/>
      <c r="C357" s="27" t="s">
        <v>9603</v>
      </c>
      <c r="E357" s="18" t="s">
        <v>9612</v>
      </c>
      <c r="F357" s="18" t="s">
        <v>2761</v>
      </c>
    </row>
    <row r="358" spans="1:6" ht="20.100000000000001" customHeight="1">
      <c r="A358" s="27" t="s">
        <v>350</v>
      </c>
      <c r="B358" s="48"/>
      <c r="C358" s="27" t="s">
        <v>9605</v>
      </c>
      <c r="E358" s="18" t="s">
        <v>9614</v>
      </c>
      <c r="F358" s="18" t="s">
        <v>2765</v>
      </c>
    </row>
    <row r="359" spans="1:6" ht="20.100000000000001" customHeight="1">
      <c r="A359" s="27" t="s">
        <v>350</v>
      </c>
      <c r="B359" s="48"/>
      <c r="C359" s="27" t="s">
        <v>9607</v>
      </c>
      <c r="E359" s="18" t="s">
        <v>9616</v>
      </c>
      <c r="F359" s="18" t="s">
        <v>2770</v>
      </c>
    </row>
    <row r="360" spans="1:6" ht="20.100000000000001" customHeight="1">
      <c r="A360" s="29" t="s">
        <v>350</v>
      </c>
      <c r="B360" s="48"/>
      <c r="C360" s="27" t="s">
        <v>9609</v>
      </c>
      <c r="E360" s="18" t="s">
        <v>9618</v>
      </c>
      <c r="F360" s="18" t="s">
        <v>2791</v>
      </c>
    </row>
    <row r="361" spans="1:6" ht="20.100000000000001" customHeight="1">
      <c r="A361" s="29" t="s">
        <v>350</v>
      </c>
      <c r="B361" s="48"/>
      <c r="C361" s="27" t="s">
        <v>9611</v>
      </c>
      <c r="E361" s="18" t="s">
        <v>9620</v>
      </c>
      <c r="F361" s="18" t="s">
        <v>2801</v>
      </c>
    </row>
    <row r="362" spans="1:6" ht="20.100000000000001" customHeight="1">
      <c r="A362" s="27" t="s">
        <v>350</v>
      </c>
      <c r="B362" s="48"/>
      <c r="C362" s="27" t="s">
        <v>9613</v>
      </c>
      <c r="E362" s="18" t="s">
        <v>9622</v>
      </c>
      <c r="F362" s="18" t="s">
        <v>2808</v>
      </c>
    </row>
    <row r="363" spans="1:6" ht="20.100000000000001" customHeight="1">
      <c r="A363" s="27" t="s">
        <v>350</v>
      </c>
      <c r="B363" s="48"/>
      <c r="C363" s="27" t="s">
        <v>9615</v>
      </c>
      <c r="E363" s="18" t="s">
        <v>9624</v>
      </c>
      <c r="F363" s="18" t="s">
        <v>2814</v>
      </c>
    </row>
    <row r="364" spans="1:6" ht="20.100000000000001" customHeight="1">
      <c r="A364" s="27" t="s">
        <v>350</v>
      </c>
      <c r="B364" s="48"/>
      <c r="C364" s="27" t="s">
        <v>9617</v>
      </c>
      <c r="E364" s="18" t="s">
        <v>9626</v>
      </c>
      <c r="F364" s="18" t="s">
        <v>2820</v>
      </c>
    </row>
    <row r="365" spans="1:6" ht="20.100000000000001" customHeight="1">
      <c r="A365" s="27" t="s">
        <v>350</v>
      </c>
      <c r="B365" s="48"/>
      <c r="C365" s="27" t="s">
        <v>9619</v>
      </c>
      <c r="E365" s="18" t="s">
        <v>9628</v>
      </c>
      <c r="F365" s="18" t="s">
        <v>2831</v>
      </c>
    </row>
    <row r="366" spans="1:6" ht="20.100000000000001" customHeight="1">
      <c r="A366" s="27" t="s">
        <v>350</v>
      </c>
      <c r="B366" s="48"/>
      <c r="C366" s="27" t="s">
        <v>9621</v>
      </c>
      <c r="E366" s="18" t="s">
        <v>9630</v>
      </c>
      <c r="F366" s="18" t="s">
        <v>2836</v>
      </c>
    </row>
    <row r="367" spans="1:6" ht="20.100000000000001" customHeight="1">
      <c r="A367" s="27" t="s">
        <v>350</v>
      </c>
      <c r="B367" s="48"/>
      <c r="C367" s="27" t="s">
        <v>9623</v>
      </c>
      <c r="E367" s="18" t="s">
        <v>9632</v>
      </c>
      <c r="F367" s="18" t="s">
        <v>2840</v>
      </c>
    </row>
    <row r="368" spans="1:6" ht="20.100000000000001" customHeight="1">
      <c r="A368" s="27" t="s">
        <v>350</v>
      </c>
      <c r="B368" s="48"/>
      <c r="C368" s="27" t="s">
        <v>9625</v>
      </c>
      <c r="E368" s="18" t="s">
        <v>9634</v>
      </c>
      <c r="F368" s="18" t="s">
        <v>2846</v>
      </c>
    </row>
    <row r="369" spans="1:6" ht="20.100000000000001" customHeight="1">
      <c r="A369" s="27" t="s">
        <v>350</v>
      </c>
      <c r="B369" s="48"/>
      <c r="C369" s="27" t="s">
        <v>9627</v>
      </c>
      <c r="E369" s="18" t="s">
        <v>9636</v>
      </c>
      <c r="F369" s="18" t="s">
        <v>2850</v>
      </c>
    </row>
    <row r="370" spans="1:6" ht="20.100000000000001" customHeight="1">
      <c r="A370" s="27" t="s">
        <v>350</v>
      </c>
      <c r="B370" s="48"/>
      <c r="C370" s="27" t="s">
        <v>9629</v>
      </c>
      <c r="E370" s="18" t="s">
        <v>9638</v>
      </c>
      <c r="F370" s="18" t="s">
        <v>2855</v>
      </c>
    </row>
    <row r="371" spans="1:6" ht="20.100000000000001" customHeight="1">
      <c r="A371" s="27" t="s">
        <v>350</v>
      </c>
      <c r="B371" s="48"/>
      <c r="C371" s="27" t="s">
        <v>9631</v>
      </c>
      <c r="E371" s="18" t="s">
        <v>9640</v>
      </c>
      <c r="F371" s="18" t="s">
        <v>2860</v>
      </c>
    </row>
    <row r="372" spans="1:6" ht="20.100000000000001" customHeight="1">
      <c r="A372" s="27" t="s">
        <v>350</v>
      </c>
      <c r="B372" s="48"/>
      <c r="C372" s="27" t="s">
        <v>9633</v>
      </c>
      <c r="E372" s="18" t="s">
        <v>10438</v>
      </c>
      <c r="F372" s="18" t="s">
        <v>2864</v>
      </c>
    </row>
    <row r="373" spans="1:6" ht="20.100000000000001" customHeight="1">
      <c r="A373" s="27" t="s">
        <v>350</v>
      </c>
      <c r="B373" s="48"/>
      <c r="C373" s="27" t="s">
        <v>9635</v>
      </c>
      <c r="E373" s="18" t="s">
        <v>9642</v>
      </c>
      <c r="F373" s="18" t="s">
        <v>2868</v>
      </c>
    </row>
    <row r="374" spans="1:6" ht="20.100000000000001" customHeight="1">
      <c r="A374" s="27" t="s">
        <v>350</v>
      </c>
      <c r="B374" s="48"/>
      <c r="C374" s="27" t="s">
        <v>9637</v>
      </c>
      <c r="E374" s="18" t="s">
        <v>9644</v>
      </c>
      <c r="F374" s="18" t="s">
        <v>2873</v>
      </c>
    </row>
    <row r="375" spans="1:6" ht="20.100000000000001" customHeight="1">
      <c r="A375" s="27" t="s">
        <v>350</v>
      </c>
      <c r="B375" s="48"/>
      <c r="C375" s="27" t="s">
        <v>9639</v>
      </c>
      <c r="E375" s="18" t="s">
        <v>9646</v>
      </c>
      <c r="F375" s="18" t="s">
        <v>2880</v>
      </c>
    </row>
    <row r="376" spans="1:6" ht="20.100000000000001" customHeight="1">
      <c r="A376" s="27" t="s">
        <v>350</v>
      </c>
      <c r="B376" s="48"/>
      <c r="C376" s="27" t="s">
        <v>9641</v>
      </c>
      <c r="E376" s="18" t="s">
        <v>9648</v>
      </c>
      <c r="F376" s="18" t="s">
        <v>2886</v>
      </c>
    </row>
    <row r="377" spans="1:6" ht="20.100000000000001" customHeight="1">
      <c r="A377" s="27" t="s">
        <v>350</v>
      </c>
      <c r="B377" s="48"/>
      <c r="C377" s="27" t="s">
        <v>9643</v>
      </c>
      <c r="E377" s="18" t="s">
        <v>9650</v>
      </c>
      <c r="F377" s="18" t="s">
        <v>2891</v>
      </c>
    </row>
    <row r="378" spans="1:6" ht="20.100000000000001" customHeight="1">
      <c r="A378" s="27" t="s">
        <v>350</v>
      </c>
      <c r="B378" s="48"/>
      <c r="C378" s="27" t="s">
        <v>9645</v>
      </c>
      <c r="E378" s="18" t="s">
        <v>9652</v>
      </c>
      <c r="F378" s="18" t="s">
        <v>2897</v>
      </c>
    </row>
    <row r="379" spans="1:6" ht="20.100000000000001" customHeight="1">
      <c r="A379" s="27" t="s">
        <v>350</v>
      </c>
      <c r="B379" s="48"/>
      <c r="C379" s="27" t="s">
        <v>9647</v>
      </c>
      <c r="E379" s="18" t="s">
        <v>9654</v>
      </c>
      <c r="F379" s="18" t="s">
        <v>2903</v>
      </c>
    </row>
    <row r="380" spans="1:6" ht="20.100000000000001" customHeight="1">
      <c r="A380" s="27" t="s">
        <v>350</v>
      </c>
      <c r="B380" s="48"/>
      <c r="C380" s="27" t="s">
        <v>9649</v>
      </c>
      <c r="E380" s="18" t="s">
        <v>9656</v>
      </c>
      <c r="F380" s="18" t="s">
        <v>2909</v>
      </c>
    </row>
    <row r="381" spans="1:6" ht="20.100000000000001" customHeight="1">
      <c r="A381" s="27" t="s">
        <v>350</v>
      </c>
      <c r="B381" s="48"/>
      <c r="C381" s="27" t="s">
        <v>9651</v>
      </c>
      <c r="E381" s="18" t="s">
        <v>9658</v>
      </c>
      <c r="F381" s="18" t="s">
        <v>2915</v>
      </c>
    </row>
    <row r="382" spans="1:6" ht="20.100000000000001" customHeight="1">
      <c r="A382" s="27" t="s">
        <v>350</v>
      </c>
      <c r="B382" s="48"/>
      <c r="C382" s="27" t="s">
        <v>9653</v>
      </c>
      <c r="E382" s="18" t="s">
        <v>9660</v>
      </c>
      <c r="F382" s="18" t="s">
        <v>2921</v>
      </c>
    </row>
    <row r="383" spans="1:6" ht="20.100000000000001" customHeight="1">
      <c r="A383" s="27" t="s">
        <v>350</v>
      </c>
      <c r="B383" s="48"/>
      <c r="C383" s="27" t="s">
        <v>9655</v>
      </c>
      <c r="E383" s="18" t="s">
        <v>9662</v>
      </c>
      <c r="F383" s="18" t="s">
        <v>2926</v>
      </c>
    </row>
    <row r="384" spans="1:6" ht="20.100000000000001" customHeight="1">
      <c r="A384" s="27" t="s">
        <v>350</v>
      </c>
      <c r="B384" s="48"/>
      <c r="C384" s="27" t="s">
        <v>9657</v>
      </c>
      <c r="E384" s="18" t="s">
        <v>9664</v>
      </c>
      <c r="F384" s="18" t="s">
        <v>2932</v>
      </c>
    </row>
    <row r="385" spans="1:6" ht="20.100000000000001" customHeight="1">
      <c r="A385" s="27" t="s">
        <v>350</v>
      </c>
      <c r="B385" s="48"/>
      <c r="C385" s="27" t="s">
        <v>9659</v>
      </c>
      <c r="E385" s="18" t="s">
        <v>9666</v>
      </c>
      <c r="F385" s="18" t="s">
        <v>2938</v>
      </c>
    </row>
    <row r="386" spans="1:6" ht="20.100000000000001" customHeight="1">
      <c r="A386" s="27" t="s">
        <v>350</v>
      </c>
      <c r="B386" s="48"/>
      <c r="C386" s="48" t="s">
        <v>9661</v>
      </c>
      <c r="E386" s="18" t="s">
        <v>9668</v>
      </c>
      <c r="F386" s="18" t="s">
        <v>2944</v>
      </c>
    </row>
    <row r="387" spans="1:6" ht="20.100000000000001" customHeight="1">
      <c r="A387" s="27" t="s">
        <v>350</v>
      </c>
      <c r="B387" s="48"/>
      <c r="C387" s="27" t="s">
        <v>9663</v>
      </c>
      <c r="E387" s="18" t="s">
        <v>9670</v>
      </c>
      <c r="F387" s="18" t="s">
        <v>2950</v>
      </c>
    </row>
    <row r="388" spans="1:6" ht="20.100000000000001" customHeight="1">
      <c r="A388" s="27" t="s">
        <v>350</v>
      </c>
      <c r="B388" s="48"/>
      <c r="C388" s="27" t="s">
        <v>9665</v>
      </c>
      <c r="E388" s="18" t="s">
        <v>9672</v>
      </c>
      <c r="F388" s="18" t="s">
        <v>2955</v>
      </c>
    </row>
    <row r="389" spans="1:6" ht="20.100000000000001" customHeight="1">
      <c r="A389" s="27" t="s">
        <v>350</v>
      </c>
      <c r="B389" s="48"/>
      <c r="C389" s="27" t="s">
        <v>9667</v>
      </c>
      <c r="E389" s="18" t="s">
        <v>9674</v>
      </c>
      <c r="F389" s="18" t="s">
        <v>2962</v>
      </c>
    </row>
    <row r="390" spans="1:6" ht="20.100000000000001" customHeight="1">
      <c r="A390" s="27" t="s">
        <v>350</v>
      </c>
      <c r="B390" s="48"/>
      <c r="C390" s="27" t="s">
        <v>9669</v>
      </c>
      <c r="E390" s="18" t="s">
        <v>9676</v>
      </c>
      <c r="F390" s="18" t="s">
        <v>2968</v>
      </c>
    </row>
    <row r="391" spans="1:6" ht="20.100000000000001" customHeight="1">
      <c r="A391" s="27" t="s">
        <v>350</v>
      </c>
      <c r="B391" s="48"/>
      <c r="C391" s="27" t="s">
        <v>9671</v>
      </c>
      <c r="E391" s="18" t="s">
        <v>9678</v>
      </c>
      <c r="F391" s="18" t="s">
        <v>2973</v>
      </c>
    </row>
    <row r="392" spans="1:6" ht="20.100000000000001" customHeight="1">
      <c r="A392" s="27" t="s">
        <v>350</v>
      </c>
      <c r="B392" s="48"/>
      <c r="C392" s="27" t="s">
        <v>9673</v>
      </c>
      <c r="E392" s="18" t="s">
        <v>9680</v>
      </c>
      <c r="F392" s="18" t="s">
        <v>2978</v>
      </c>
    </row>
    <row r="393" spans="1:6" ht="20.100000000000001" customHeight="1">
      <c r="A393" s="27" t="s">
        <v>350</v>
      </c>
      <c r="B393" s="48"/>
      <c r="C393" s="27" t="s">
        <v>9675</v>
      </c>
      <c r="E393" s="18" t="s">
        <v>9682</v>
      </c>
      <c r="F393" s="18" t="s">
        <v>2984</v>
      </c>
    </row>
    <row r="394" spans="1:6" ht="20.100000000000001" customHeight="1">
      <c r="A394" s="27" t="s">
        <v>350</v>
      </c>
      <c r="B394" s="48"/>
      <c r="C394" s="27" t="s">
        <v>9677</v>
      </c>
      <c r="E394" s="18" t="s">
        <v>9684</v>
      </c>
      <c r="F394" s="18" t="s">
        <v>2990</v>
      </c>
    </row>
    <row r="395" spans="1:6" ht="20.100000000000001" customHeight="1">
      <c r="A395" s="27" t="s">
        <v>350</v>
      </c>
      <c r="B395" s="48"/>
      <c r="C395" s="27" t="s">
        <v>9679</v>
      </c>
      <c r="E395" s="18" t="s">
        <v>9686</v>
      </c>
      <c r="F395" s="18" t="s">
        <v>2996</v>
      </c>
    </row>
    <row r="396" spans="1:6" ht="20.100000000000001" customHeight="1">
      <c r="A396" s="27" t="s">
        <v>350</v>
      </c>
      <c r="B396" s="48"/>
      <c r="C396" s="27" t="s">
        <v>9681</v>
      </c>
      <c r="E396" s="18" t="s">
        <v>9688</v>
      </c>
      <c r="F396" s="18" t="s">
        <v>3002</v>
      </c>
    </row>
    <row r="397" spans="1:6" ht="20.100000000000001" customHeight="1">
      <c r="A397" s="27" t="s">
        <v>350</v>
      </c>
      <c r="B397" s="48"/>
      <c r="C397" s="27" t="s">
        <v>9683</v>
      </c>
      <c r="E397" s="18" t="s">
        <v>9690</v>
      </c>
      <c r="F397" s="18" t="s">
        <v>3009</v>
      </c>
    </row>
    <row r="398" spans="1:6" ht="20.100000000000001" customHeight="1">
      <c r="A398" s="27" t="s">
        <v>350</v>
      </c>
      <c r="B398" s="48"/>
      <c r="C398" s="27" t="s">
        <v>9685</v>
      </c>
      <c r="E398" s="18" t="s">
        <v>9692</v>
      </c>
      <c r="F398" s="18" t="s">
        <v>3015</v>
      </c>
    </row>
    <row r="399" spans="1:6" ht="20.100000000000001" customHeight="1">
      <c r="A399" s="27" t="s">
        <v>350</v>
      </c>
      <c r="B399" s="48"/>
      <c r="C399" s="27" t="s">
        <v>9687</v>
      </c>
      <c r="E399" s="18" t="s">
        <v>9694</v>
      </c>
      <c r="F399" s="18" t="s">
        <v>3021</v>
      </c>
    </row>
    <row r="400" spans="1:6" ht="20.100000000000001" customHeight="1">
      <c r="A400" s="27" t="s">
        <v>350</v>
      </c>
      <c r="B400" s="48"/>
      <c r="C400" s="27" t="s">
        <v>9689</v>
      </c>
      <c r="E400" s="18" t="s">
        <v>9696</v>
      </c>
      <c r="F400" s="18" t="s">
        <v>3027</v>
      </c>
    </row>
    <row r="401" spans="1:6" ht="20.100000000000001" customHeight="1">
      <c r="A401" s="27" t="s">
        <v>350</v>
      </c>
      <c r="B401" s="48"/>
      <c r="C401" s="27" t="s">
        <v>9691</v>
      </c>
      <c r="E401" s="18" t="s">
        <v>9698</v>
      </c>
      <c r="F401" s="18" t="s">
        <v>3033</v>
      </c>
    </row>
    <row r="402" spans="1:6" ht="20.100000000000001" customHeight="1">
      <c r="A402" s="27" t="s">
        <v>350</v>
      </c>
      <c r="B402" s="48"/>
      <c r="C402" s="27" t="s">
        <v>9693</v>
      </c>
      <c r="E402" s="18" t="s">
        <v>9700</v>
      </c>
      <c r="F402" s="18" t="s">
        <v>3039</v>
      </c>
    </row>
    <row r="403" spans="1:6" ht="20.100000000000001" customHeight="1">
      <c r="A403" s="27" t="s">
        <v>350</v>
      </c>
      <c r="B403" s="48"/>
      <c r="C403" s="27" t="s">
        <v>9695</v>
      </c>
      <c r="E403" s="18" t="s">
        <v>9702</v>
      </c>
      <c r="F403" s="18" t="s">
        <v>3045</v>
      </c>
    </row>
    <row r="404" spans="1:6" ht="20.100000000000001" customHeight="1">
      <c r="A404" s="27" t="s">
        <v>350</v>
      </c>
      <c r="B404" s="48"/>
      <c r="C404" s="27" t="s">
        <v>9697</v>
      </c>
      <c r="E404" s="18" t="s">
        <v>9704</v>
      </c>
      <c r="F404" s="18" t="s">
        <v>3051</v>
      </c>
    </row>
    <row r="405" spans="1:6" ht="20.100000000000001" customHeight="1">
      <c r="A405" s="27" t="s">
        <v>350</v>
      </c>
      <c r="B405" s="48"/>
      <c r="C405" s="27" t="s">
        <v>9699</v>
      </c>
      <c r="E405" s="18" t="s">
        <v>9706</v>
      </c>
      <c r="F405" s="18" t="s">
        <v>3056</v>
      </c>
    </row>
    <row r="406" spans="1:6" ht="20.100000000000001" customHeight="1">
      <c r="A406" s="27" t="s">
        <v>350</v>
      </c>
      <c r="B406" s="48"/>
      <c r="C406" s="27" t="s">
        <v>9701</v>
      </c>
      <c r="E406" s="18" t="s">
        <v>9708</v>
      </c>
      <c r="F406" s="18" t="s">
        <v>3062</v>
      </c>
    </row>
    <row r="407" spans="1:6" ht="20.100000000000001" customHeight="1">
      <c r="A407" s="29" t="s">
        <v>350</v>
      </c>
      <c r="B407" s="48"/>
      <c r="C407" s="27" t="s">
        <v>9703</v>
      </c>
      <c r="E407" s="18" t="s">
        <v>9710</v>
      </c>
      <c r="F407" s="18" t="s">
        <v>3068</v>
      </c>
    </row>
    <row r="408" spans="1:6" ht="20.100000000000001" customHeight="1">
      <c r="A408" s="27" t="s">
        <v>350</v>
      </c>
      <c r="B408" s="48"/>
      <c r="C408" s="27" t="s">
        <v>9705</v>
      </c>
      <c r="E408" s="18" t="s">
        <v>9712</v>
      </c>
      <c r="F408" s="18" t="s">
        <v>3075</v>
      </c>
    </row>
    <row r="409" spans="1:6" ht="20.100000000000001" customHeight="1">
      <c r="A409" s="27" t="s">
        <v>350</v>
      </c>
      <c r="B409" s="48"/>
      <c r="C409" s="27" t="s">
        <v>9707</v>
      </c>
      <c r="E409" s="18" t="s">
        <v>9714</v>
      </c>
      <c r="F409" s="18" t="s">
        <v>3081</v>
      </c>
    </row>
    <row r="410" spans="1:6" ht="20.100000000000001" customHeight="1">
      <c r="A410" s="27" t="s">
        <v>350</v>
      </c>
      <c r="B410" s="48"/>
      <c r="C410" s="27" t="s">
        <v>9709</v>
      </c>
      <c r="E410" s="18" t="s">
        <v>9716</v>
      </c>
      <c r="F410" s="18" t="s">
        <v>3087</v>
      </c>
    </row>
    <row r="411" spans="1:6" ht="20.100000000000001" customHeight="1">
      <c r="A411" s="27" t="s">
        <v>350</v>
      </c>
      <c r="B411" s="48"/>
      <c r="C411" s="27" t="s">
        <v>9711</v>
      </c>
      <c r="E411" s="18" t="s">
        <v>9718</v>
      </c>
      <c r="F411" s="18" t="s">
        <v>3094</v>
      </c>
    </row>
    <row r="412" spans="1:6" ht="20.100000000000001" customHeight="1">
      <c r="A412" s="27" t="s">
        <v>350</v>
      </c>
      <c r="B412" s="48"/>
      <c r="C412" s="27" t="s">
        <v>9713</v>
      </c>
      <c r="E412" s="18" t="s">
        <v>9720</v>
      </c>
      <c r="F412" s="18" t="s">
        <v>3100</v>
      </c>
    </row>
    <row r="413" spans="1:6" ht="20.100000000000001" customHeight="1">
      <c r="A413" s="27" t="s">
        <v>350</v>
      </c>
      <c r="B413" s="48"/>
      <c r="C413" s="27" t="s">
        <v>9715</v>
      </c>
      <c r="E413" s="18" t="s">
        <v>9722</v>
      </c>
      <c r="F413" s="18" t="s">
        <v>3106</v>
      </c>
    </row>
    <row r="414" spans="1:6" ht="20.100000000000001" customHeight="1">
      <c r="A414" s="27" t="s">
        <v>350</v>
      </c>
      <c r="B414" s="48"/>
      <c r="C414" s="27" t="s">
        <v>9717</v>
      </c>
      <c r="E414" s="18" t="s">
        <v>9724</v>
      </c>
      <c r="F414" s="18" t="s">
        <v>3112</v>
      </c>
    </row>
    <row r="415" spans="1:6" ht="20.100000000000001" customHeight="1">
      <c r="A415" s="27" t="s">
        <v>350</v>
      </c>
      <c r="B415" s="48"/>
      <c r="C415" s="27" t="s">
        <v>9719</v>
      </c>
      <c r="E415" s="18" t="s">
        <v>9726</v>
      </c>
      <c r="F415" s="18" t="s">
        <v>3118</v>
      </c>
    </row>
    <row r="416" spans="1:6" ht="20.100000000000001" customHeight="1">
      <c r="A416" s="27" t="s">
        <v>350</v>
      </c>
      <c r="B416" s="48"/>
      <c r="C416" s="27" t="s">
        <v>9721</v>
      </c>
      <c r="E416" s="18" t="s">
        <v>9728</v>
      </c>
      <c r="F416" s="18" t="s">
        <v>3124</v>
      </c>
    </row>
    <row r="417" spans="1:6" ht="20.100000000000001" customHeight="1">
      <c r="A417" s="27" t="s">
        <v>350</v>
      </c>
      <c r="B417" s="48"/>
      <c r="C417" s="27" t="s">
        <v>9723</v>
      </c>
      <c r="E417" s="18" t="s">
        <v>9730</v>
      </c>
      <c r="F417" s="18" t="s">
        <v>3130</v>
      </c>
    </row>
    <row r="418" spans="1:6" ht="20.100000000000001" customHeight="1">
      <c r="A418" s="27" t="s">
        <v>350</v>
      </c>
      <c r="B418" s="48"/>
      <c r="C418" s="27" t="s">
        <v>9725</v>
      </c>
      <c r="E418" s="18" t="s">
        <v>9732</v>
      </c>
      <c r="F418" s="18" t="s">
        <v>3137</v>
      </c>
    </row>
    <row r="419" spans="1:6" ht="20.100000000000001" customHeight="1">
      <c r="A419" s="27" t="s">
        <v>350</v>
      </c>
      <c r="B419" s="48"/>
      <c r="C419" s="27" t="s">
        <v>9727</v>
      </c>
      <c r="E419" s="18" t="s">
        <v>9734</v>
      </c>
      <c r="F419" s="18" t="s">
        <v>3143</v>
      </c>
    </row>
    <row r="420" spans="1:6" ht="20.100000000000001" customHeight="1">
      <c r="A420" s="27" t="s">
        <v>350</v>
      </c>
      <c r="B420" s="48"/>
      <c r="C420" s="27" t="s">
        <v>9729</v>
      </c>
      <c r="E420" s="18" t="s">
        <v>9736</v>
      </c>
      <c r="F420" s="18" t="s">
        <v>3149</v>
      </c>
    </row>
    <row r="421" spans="1:6" ht="20.100000000000001" customHeight="1">
      <c r="A421" s="27" t="s">
        <v>350</v>
      </c>
      <c r="B421" s="48"/>
      <c r="C421" s="27" t="s">
        <v>9731</v>
      </c>
      <c r="E421" s="18" t="s">
        <v>9738</v>
      </c>
      <c r="F421" s="18" t="s">
        <v>3155</v>
      </c>
    </row>
    <row r="422" spans="1:6" ht="20.100000000000001" customHeight="1">
      <c r="A422" s="27" t="s">
        <v>350</v>
      </c>
      <c r="B422" s="48"/>
      <c r="C422" s="27" t="s">
        <v>9733</v>
      </c>
      <c r="E422" s="18" t="s">
        <v>9740</v>
      </c>
      <c r="F422" s="18" t="s">
        <v>3161</v>
      </c>
    </row>
    <row r="423" spans="1:6" ht="20.100000000000001" customHeight="1">
      <c r="A423" s="27" t="s">
        <v>350</v>
      </c>
      <c r="B423" s="48"/>
      <c r="C423" s="27" t="s">
        <v>9735</v>
      </c>
      <c r="E423" s="18" t="s">
        <v>9742</v>
      </c>
      <c r="F423" s="18" t="s">
        <v>3167</v>
      </c>
    </row>
    <row r="424" spans="1:6" ht="20.100000000000001" customHeight="1">
      <c r="A424" s="27" t="s">
        <v>350</v>
      </c>
      <c r="B424" s="48"/>
      <c r="C424" s="27" t="s">
        <v>9737</v>
      </c>
      <c r="E424" s="18" t="s">
        <v>9744</v>
      </c>
      <c r="F424" s="18" t="s">
        <v>3174</v>
      </c>
    </row>
    <row r="425" spans="1:6" ht="20.100000000000001" customHeight="1">
      <c r="A425" s="27" t="s">
        <v>350</v>
      </c>
      <c r="B425" s="48"/>
      <c r="C425" s="27" t="s">
        <v>9739</v>
      </c>
      <c r="E425" s="18" t="s">
        <v>9746</v>
      </c>
      <c r="F425" s="18" t="s">
        <v>3180</v>
      </c>
    </row>
    <row r="426" spans="1:6" ht="20.100000000000001" customHeight="1">
      <c r="A426" s="27" t="s">
        <v>350</v>
      </c>
      <c r="B426" s="48"/>
      <c r="C426" s="27" t="s">
        <v>9741</v>
      </c>
      <c r="E426" s="18" t="s">
        <v>9748</v>
      </c>
      <c r="F426" s="18" t="s">
        <v>3185</v>
      </c>
    </row>
    <row r="427" spans="1:6" ht="20.100000000000001" customHeight="1">
      <c r="A427" s="27" t="s">
        <v>350</v>
      </c>
      <c r="B427" s="48"/>
      <c r="C427" s="27" t="s">
        <v>9743</v>
      </c>
      <c r="E427" s="18" t="s">
        <v>9750</v>
      </c>
      <c r="F427" s="18" t="s">
        <v>3191</v>
      </c>
    </row>
    <row r="428" spans="1:6" ht="20.100000000000001" customHeight="1">
      <c r="A428" s="27" t="s">
        <v>350</v>
      </c>
      <c r="B428" s="48"/>
      <c r="C428" s="27" t="s">
        <v>9745</v>
      </c>
      <c r="E428" s="18" t="s">
        <v>9752</v>
      </c>
      <c r="F428" s="18" t="s">
        <v>3197</v>
      </c>
    </row>
    <row r="429" spans="1:6" ht="20.100000000000001" customHeight="1">
      <c r="A429" s="27" t="s">
        <v>350</v>
      </c>
      <c r="B429" s="48"/>
      <c r="C429" s="27" t="s">
        <v>9747</v>
      </c>
      <c r="E429" s="18" t="s">
        <v>9754</v>
      </c>
      <c r="F429" s="18" t="s">
        <v>3204</v>
      </c>
    </row>
    <row r="430" spans="1:6" ht="20.100000000000001" customHeight="1">
      <c r="A430" s="27" t="s">
        <v>350</v>
      </c>
      <c r="B430" s="48"/>
      <c r="C430" s="27" t="s">
        <v>9749</v>
      </c>
      <c r="E430" s="18" t="s">
        <v>9756</v>
      </c>
      <c r="F430" s="18" t="s">
        <v>3211</v>
      </c>
    </row>
    <row r="431" spans="1:6" ht="20.100000000000001" customHeight="1">
      <c r="A431" s="27" t="s">
        <v>350</v>
      </c>
      <c r="B431" s="48"/>
      <c r="C431" s="27" t="s">
        <v>9751</v>
      </c>
      <c r="E431" s="18" t="s">
        <v>9758</v>
      </c>
      <c r="F431" s="18" t="s">
        <v>3217</v>
      </c>
    </row>
    <row r="432" spans="1:6" ht="20.100000000000001" customHeight="1">
      <c r="A432" s="27" t="s">
        <v>350</v>
      </c>
      <c r="B432" s="48"/>
      <c r="C432" s="27" t="s">
        <v>9753</v>
      </c>
      <c r="E432" s="18" t="s">
        <v>9760</v>
      </c>
      <c r="F432" s="18" t="s">
        <v>3224</v>
      </c>
    </row>
    <row r="433" spans="1:6" ht="20.100000000000001" customHeight="1">
      <c r="A433" s="27" t="s">
        <v>350</v>
      </c>
      <c r="B433" s="48"/>
      <c r="C433" s="27" t="s">
        <v>9755</v>
      </c>
      <c r="E433" s="18" t="s">
        <v>9762</v>
      </c>
      <c r="F433" s="18" t="s">
        <v>3230</v>
      </c>
    </row>
    <row r="434" spans="1:6" ht="20.100000000000001" customHeight="1">
      <c r="A434" s="27" t="s">
        <v>350</v>
      </c>
      <c r="B434" s="48"/>
      <c r="C434" s="27" t="s">
        <v>9757</v>
      </c>
      <c r="E434" s="18" t="s">
        <v>9764</v>
      </c>
      <c r="F434" s="18" t="s">
        <v>3236</v>
      </c>
    </row>
    <row r="435" spans="1:6" ht="20.100000000000001" customHeight="1">
      <c r="A435" s="27" t="s">
        <v>350</v>
      </c>
      <c r="B435" s="48"/>
      <c r="C435" s="27" t="s">
        <v>9759</v>
      </c>
      <c r="E435" s="18" t="s">
        <v>9765</v>
      </c>
      <c r="F435" s="18" t="s">
        <v>3242</v>
      </c>
    </row>
    <row r="436" spans="1:6" ht="20.100000000000001" customHeight="1">
      <c r="A436" s="27" t="s">
        <v>350</v>
      </c>
      <c r="B436" s="48"/>
      <c r="C436" s="27" t="s">
        <v>9761</v>
      </c>
      <c r="E436" s="18" t="s">
        <v>9766</v>
      </c>
      <c r="F436" s="18" t="s">
        <v>3248</v>
      </c>
    </row>
    <row r="437" spans="1:6" ht="20.100000000000001" customHeight="1">
      <c r="A437" s="27" t="s">
        <v>350</v>
      </c>
      <c r="B437" s="48"/>
      <c r="C437" s="27" t="s">
        <v>9763</v>
      </c>
      <c r="E437" s="18" t="s">
        <v>9768</v>
      </c>
      <c r="F437" s="18" t="s">
        <v>3254</v>
      </c>
    </row>
    <row r="438" spans="1:6" ht="20.100000000000001" customHeight="1">
      <c r="A438" s="27" t="s">
        <v>350</v>
      </c>
      <c r="B438" s="48"/>
      <c r="C438" s="27" t="s">
        <v>8902</v>
      </c>
      <c r="E438" s="18" t="s">
        <v>9770</v>
      </c>
      <c r="F438" s="18" t="s">
        <v>3260</v>
      </c>
    </row>
    <row r="439" spans="1:6" ht="20.100000000000001" customHeight="1">
      <c r="A439" s="27" t="s">
        <v>350</v>
      </c>
      <c r="B439" s="48"/>
      <c r="C439" s="27" t="s">
        <v>8905</v>
      </c>
      <c r="E439" s="18" t="s">
        <v>9772</v>
      </c>
      <c r="F439" s="18" t="s">
        <v>3266</v>
      </c>
    </row>
    <row r="440" spans="1:6" ht="20.100000000000001" customHeight="1">
      <c r="A440" s="27" t="s">
        <v>350</v>
      </c>
      <c r="B440" s="48"/>
      <c r="C440" s="27" t="s">
        <v>9767</v>
      </c>
      <c r="E440" s="18" t="s">
        <v>9774</v>
      </c>
      <c r="F440" s="18" t="s">
        <v>3272</v>
      </c>
    </row>
    <row r="441" spans="1:6" ht="20.100000000000001" customHeight="1">
      <c r="A441" s="27" t="s">
        <v>350</v>
      </c>
      <c r="B441" s="48"/>
      <c r="C441" s="27" t="s">
        <v>9769</v>
      </c>
      <c r="E441" s="18" t="s">
        <v>9775</v>
      </c>
      <c r="F441" s="18" t="s">
        <v>3278</v>
      </c>
    </row>
    <row r="442" spans="1:6" ht="20.100000000000001" customHeight="1">
      <c r="A442" s="27" t="s">
        <v>350</v>
      </c>
      <c r="B442" s="48"/>
      <c r="C442" s="27" t="s">
        <v>9771</v>
      </c>
      <c r="E442" s="18" t="s">
        <v>9776</v>
      </c>
      <c r="F442" s="18" t="s">
        <v>3284</v>
      </c>
    </row>
    <row r="443" spans="1:6" ht="20.100000000000001" customHeight="1">
      <c r="A443" s="27" t="s">
        <v>350</v>
      </c>
      <c r="B443" s="48"/>
      <c r="C443" s="27" t="s">
        <v>9773</v>
      </c>
      <c r="E443" s="18" t="s">
        <v>9777</v>
      </c>
      <c r="F443" s="18" t="s">
        <v>3290</v>
      </c>
    </row>
    <row r="444" spans="1:6" ht="20.100000000000001" customHeight="1">
      <c r="A444" s="27" t="s">
        <v>350</v>
      </c>
      <c r="B444" s="48"/>
      <c r="E444" s="18" t="s">
        <v>9778</v>
      </c>
      <c r="F444" s="18" t="s">
        <v>3296</v>
      </c>
    </row>
    <row r="445" spans="1:6" ht="20.100000000000001" customHeight="1">
      <c r="A445" s="27" t="s">
        <v>350</v>
      </c>
      <c r="B445" s="48"/>
      <c r="C445" s="16"/>
      <c r="E445" s="18" t="s">
        <v>9779</v>
      </c>
      <c r="F445" s="18" t="s">
        <v>3302</v>
      </c>
    </row>
    <row r="446" spans="1:6" ht="20.100000000000001" customHeight="1">
      <c r="A446" s="27" t="s">
        <v>350</v>
      </c>
      <c r="B446" s="48"/>
      <c r="C446" s="16"/>
      <c r="E446" s="18" t="s">
        <v>9780</v>
      </c>
      <c r="F446" s="18" t="s">
        <v>3309</v>
      </c>
    </row>
    <row r="447" spans="1:6" ht="20.100000000000001" customHeight="1">
      <c r="A447" s="27" t="s">
        <v>350</v>
      </c>
      <c r="B447" s="48"/>
      <c r="C447" s="16"/>
      <c r="E447" s="18" t="s">
        <v>9781</v>
      </c>
      <c r="F447" s="18" t="s">
        <v>3316</v>
      </c>
    </row>
    <row r="448" spans="1:6" ht="20.100000000000001" customHeight="1">
      <c r="A448" s="27" t="s">
        <v>350</v>
      </c>
      <c r="B448" s="48"/>
      <c r="C448" s="16"/>
      <c r="E448" s="18" t="s">
        <v>9782</v>
      </c>
      <c r="F448" s="18" t="s">
        <v>3322</v>
      </c>
    </row>
    <row r="449" spans="1:6" ht="20.100000000000001" customHeight="1">
      <c r="A449" s="27" t="s">
        <v>350</v>
      </c>
      <c r="B449" s="48"/>
      <c r="C449" s="16"/>
      <c r="E449" s="18" t="s">
        <v>9783</v>
      </c>
      <c r="F449" s="18" t="s">
        <v>3328</v>
      </c>
    </row>
    <row r="450" spans="1:6" ht="20.100000000000001" customHeight="1">
      <c r="A450" s="27" t="s">
        <v>350</v>
      </c>
      <c r="B450" s="48"/>
      <c r="C450" s="16"/>
      <c r="E450" s="18" t="s">
        <v>9784</v>
      </c>
      <c r="F450" s="18" t="s">
        <v>3334</v>
      </c>
    </row>
    <row r="451" spans="1:6" ht="20.100000000000001" customHeight="1">
      <c r="A451" s="27" t="s">
        <v>350</v>
      </c>
      <c r="B451" s="48"/>
      <c r="C451" s="16"/>
      <c r="E451" s="18" t="s">
        <v>9785</v>
      </c>
      <c r="F451" s="18" t="s">
        <v>3340</v>
      </c>
    </row>
    <row r="452" spans="1:6" ht="20.100000000000001" customHeight="1">
      <c r="A452" s="29" t="s">
        <v>350</v>
      </c>
      <c r="C452" s="16"/>
      <c r="E452" s="18" t="s">
        <v>9786</v>
      </c>
      <c r="F452" s="18" t="s">
        <v>3346</v>
      </c>
    </row>
    <row r="453" spans="1:6" ht="20.100000000000001" customHeight="1">
      <c r="A453" s="27" t="s">
        <v>350</v>
      </c>
      <c r="C453" s="16"/>
      <c r="E453" s="18" t="s">
        <v>9787</v>
      </c>
      <c r="F453" s="18" t="s">
        <v>3352</v>
      </c>
    </row>
    <row r="454" spans="1:6" ht="20.100000000000001" customHeight="1">
      <c r="A454" s="27" t="s">
        <v>350</v>
      </c>
      <c r="C454" s="16"/>
      <c r="E454" s="18" t="s">
        <v>9788</v>
      </c>
      <c r="F454" s="18" t="s">
        <v>3358</v>
      </c>
    </row>
    <row r="455" spans="1:6" ht="20.100000000000001" customHeight="1">
      <c r="A455" s="27" t="s">
        <v>350</v>
      </c>
      <c r="C455" s="16"/>
      <c r="E455" s="18" t="s">
        <v>9789</v>
      </c>
      <c r="F455" s="18" t="s">
        <v>3364</v>
      </c>
    </row>
    <row r="456" spans="1:6" ht="20.100000000000001" customHeight="1">
      <c r="A456" s="27" t="s">
        <v>350</v>
      </c>
      <c r="C456" s="16"/>
      <c r="E456" s="18" t="s">
        <v>9790</v>
      </c>
      <c r="F456" s="18" t="s">
        <v>3370</v>
      </c>
    </row>
    <row r="457" spans="1:6" ht="20.100000000000001" customHeight="1">
      <c r="A457" s="27" t="s">
        <v>350</v>
      </c>
      <c r="C457" s="16"/>
      <c r="E457" s="18" t="s">
        <v>9791</v>
      </c>
      <c r="F457" s="18" t="s">
        <v>3376</v>
      </c>
    </row>
    <row r="458" spans="1:6" ht="20.100000000000001" customHeight="1">
      <c r="A458" s="27" t="s">
        <v>350</v>
      </c>
      <c r="C458" s="16"/>
      <c r="E458" s="18" t="s">
        <v>9792</v>
      </c>
      <c r="F458" s="18" t="s">
        <v>3382</v>
      </c>
    </row>
    <row r="459" spans="1:6" ht="20.100000000000001" customHeight="1">
      <c r="A459" s="27" t="s">
        <v>350</v>
      </c>
      <c r="C459" s="16"/>
      <c r="E459" s="18" t="s">
        <v>9793</v>
      </c>
      <c r="F459" s="18" t="s">
        <v>3389</v>
      </c>
    </row>
    <row r="460" spans="1:6" ht="20.100000000000001" customHeight="1">
      <c r="A460" s="27" t="s">
        <v>350</v>
      </c>
      <c r="C460" s="16"/>
      <c r="E460" s="18" t="s">
        <v>9794</v>
      </c>
      <c r="F460" s="18" t="s">
        <v>3395</v>
      </c>
    </row>
    <row r="461" spans="1:6" ht="20.100000000000001" customHeight="1">
      <c r="A461" s="27" t="s">
        <v>350</v>
      </c>
      <c r="C461" s="16"/>
      <c r="E461" s="18" t="s">
        <v>9795</v>
      </c>
      <c r="F461" s="18" t="s">
        <v>3401</v>
      </c>
    </row>
    <row r="462" spans="1:6" ht="20.100000000000001" customHeight="1">
      <c r="A462" s="27" t="s">
        <v>350</v>
      </c>
      <c r="C462" s="16"/>
      <c r="E462" s="18" t="s">
        <v>9796</v>
      </c>
      <c r="F462" s="18" t="s">
        <v>3407</v>
      </c>
    </row>
    <row r="463" spans="1:6" ht="20.100000000000001" customHeight="1">
      <c r="A463" s="27" t="s">
        <v>350</v>
      </c>
      <c r="C463" s="16"/>
      <c r="E463" s="18" t="s">
        <v>9797</v>
      </c>
      <c r="F463" s="18" t="s">
        <v>3414</v>
      </c>
    </row>
    <row r="464" spans="1:6" ht="20.100000000000001" customHeight="1">
      <c r="A464" s="27" t="s">
        <v>350</v>
      </c>
      <c r="C464" s="16"/>
      <c r="E464" s="18" t="s">
        <v>9798</v>
      </c>
      <c r="F464" s="18" t="s">
        <v>3420</v>
      </c>
    </row>
    <row r="465" spans="1:6" ht="20.100000000000001" customHeight="1">
      <c r="A465" s="27" t="s">
        <v>350</v>
      </c>
      <c r="C465" s="16"/>
      <c r="E465" s="18" t="s">
        <v>9799</v>
      </c>
      <c r="F465" s="18" t="s">
        <v>3427</v>
      </c>
    </row>
    <row r="466" spans="1:6" ht="20.100000000000001" customHeight="1">
      <c r="A466" s="27" t="s">
        <v>350</v>
      </c>
      <c r="C466" s="16"/>
      <c r="E466" s="18" t="s">
        <v>9800</v>
      </c>
      <c r="F466" s="18" t="s">
        <v>3433</v>
      </c>
    </row>
    <row r="467" spans="1:6" ht="20.100000000000001" customHeight="1">
      <c r="A467" s="27" t="s">
        <v>350</v>
      </c>
      <c r="C467" s="16"/>
      <c r="E467" s="18" t="s">
        <v>9801</v>
      </c>
      <c r="F467" s="18" t="s">
        <v>3439</v>
      </c>
    </row>
    <row r="468" spans="1:6" ht="20.100000000000001" customHeight="1">
      <c r="A468" s="27" t="s">
        <v>350</v>
      </c>
      <c r="C468" s="16"/>
      <c r="E468" s="18" t="s">
        <v>9802</v>
      </c>
      <c r="F468" s="18" t="s">
        <v>3445</v>
      </c>
    </row>
    <row r="469" spans="1:6" ht="20.100000000000001" customHeight="1">
      <c r="A469" s="27" t="s">
        <v>350</v>
      </c>
      <c r="C469" s="16"/>
      <c r="E469" s="18" t="s">
        <v>9803</v>
      </c>
      <c r="F469" s="18" t="s">
        <v>3452</v>
      </c>
    </row>
    <row r="470" spans="1:6" ht="20.100000000000001" customHeight="1">
      <c r="A470" s="27" t="s">
        <v>350</v>
      </c>
      <c r="C470" s="16"/>
      <c r="E470" s="18" t="s">
        <v>9804</v>
      </c>
      <c r="F470" s="18" t="s">
        <v>3458</v>
      </c>
    </row>
    <row r="471" spans="1:6" ht="20.100000000000001" customHeight="1">
      <c r="A471" s="27" t="s">
        <v>350</v>
      </c>
      <c r="C471" s="16"/>
      <c r="E471" s="18" t="s">
        <v>9805</v>
      </c>
      <c r="F471" s="18" t="s">
        <v>3465</v>
      </c>
    </row>
    <row r="472" spans="1:6" ht="20.100000000000001" customHeight="1">
      <c r="A472" s="27" t="s">
        <v>350</v>
      </c>
      <c r="C472" s="16"/>
      <c r="E472" s="18" t="s">
        <v>9806</v>
      </c>
      <c r="F472" s="18" t="s">
        <v>3471</v>
      </c>
    </row>
    <row r="473" spans="1:6" ht="20.100000000000001" customHeight="1">
      <c r="A473" s="27" t="s">
        <v>350</v>
      </c>
      <c r="C473" s="16"/>
      <c r="E473" s="18" t="s">
        <v>9807</v>
      </c>
      <c r="F473" s="18" t="s">
        <v>3479</v>
      </c>
    </row>
    <row r="474" spans="1:6" ht="20.100000000000001" customHeight="1">
      <c r="A474" s="27" t="s">
        <v>350</v>
      </c>
      <c r="C474" s="16"/>
      <c r="E474" s="18" t="s">
        <v>9808</v>
      </c>
      <c r="F474" s="18" t="s">
        <v>3485</v>
      </c>
    </row>
    <row r="475" spans="1:6" ht="20.100000000000001" customHeight="1">
      <c r="A475" s="27" t="s">
        <v>350</v>
      </c>
      <c r="C475" s="16"/>
      <c r="E475" s="18" t="s">
        <v>9809</v>
      </c>
      <c r="F475" s="18" t="s">
        <v>3491</v>
      </c>
    </row>
    <row r="476" spans="1:6" ht="20.100000000000001" customHeight="1">
      <c r="A476" s="27" t="s">
        <v>350</v>
      </c>
      <c r="C476" s="16"/>
      <c r="E476" s="18" t="s">
        <v>9810</v>
      </c>
      <c r="F476" s="18" t="s">
        <v>3497</v>
      </c>
    </row>
    <row r="477" spans="1:6" ht="20.100000000000001" customHeight="1">
      <c r="A477" s="27" t="s">
        <v>350</v>
      </c>
      <c r="C477" s="16"/>
      <c r="E477" s="18" t="s">
        <v>9811</v>
      </c>
      <c r="F477" s="18" t="s">
        <v>3503</v>
      </c>
    </row>
    <row r="478" spans="1:6" ht="20.100000000000001" customHeight="1">
      <c r="A478" s="27" t="s">
        <v>350</v>
      </c>
      <c r="C478" s="16"/>
      <c r="E478" s="18" t="s">
        <v>9812</v>
      </c>
      <c r="F478" s="18" t="s">
        <v>3509</v>
      </c>
    </row>
    <row r="479" spans="1:6" ht="20.100000000000001" customHeight="1">
      <c r="A479" s="27" t="s">
        <v>350</v>
      </c>
      <c r="C479" s="16"/>
      <c r="E479" s="18" t="s">
        <v>9813</v>
      </c>
      <c r="F479" s="18" t="s">
        <v>3515</v>
      </c>
    </row>
    <row r="480" spans="1:6" ht="20.100000000000001" customHeight="1">
      <c r="A480" s="27" t="s">
        <v>350</v>
      </c>
      <c r="C480" s="16"/>
      <c r="E480" s="18" t="s">
        <v>9814</v>
      </c>
      <c r="F480" s="18" t="s">
        <v>3521</v>
      </c>
    </row>
    <row r="481" spans="1:6" ht="20.100000000000001" customHeight="1">
      <c r="A481" s="27" t="s">
        <v>350</v>
      </c>
      <c r="C481" s="16"/>
      <c r="E481" s="18" t="s">
        <v>9815</v>
      </c>
      <c r="F481" s="18" t="s">
        <v>3527</v>
      </c>
    </row>
    <row r="482" spans="1:6" ht="20.100000000000001" customHeight="1">
      <c r="A482" s="27" t="s">
        <v>350</v>
      </c>
      <c r="C482" s="16"/>
      <c r="E482" s="18" t="s">
        <v>9816</v>
      </c>
      <c r="F482" s="18" t="s">
        <v>3533</v>
      </c>
    </row>
    <row r="483" spans="1:6" ht="20.100000000000001" customHeight="1">
      <c r="A483" s="27" t="s">
        <v>350</v>
      </c>
      <c r="C483" s="16"/>
      <c r="E483" s="18" t="s">
        <v>9817</v>
      </c>
      <c r="F483" s="18" t="s">
        <v>3539</v>
      </c>
    </row>
    <row r="484" spans="1:6" ht="20.100000000000001" customHeight="1">
      <c r="A484" s="27" t="s">
        <v>350</v>
      </c>
      <c r="C484" s="16"/>
      <c r="E484" s="18" t="s">
        <v>9818</v>
      </c>
      <c r="F484" s="18" t="s">
        <v>3545</v>
      </c>
    </row>
    <row r="485" spans="1:6" ht="20.100000000000001" customHeight="1">
      <c r="A485" s="27" t="s">
        <v>350</v>
      </c>
      <c r="C485" s="16"/>
      <c r="E485" s="18" t="s">
        <v>9819</v>
      </c>
      <c r="F485" s="18" t="s">
        <v>3551</v>
      </c>
    </row>
    <row r="486" spans="1:6" ht="20.100000000000001" customHeight="1">
      <c r="A486" s="27" t="s">
        <v>350</v>
      </c>
      <c r="C486" s="16"/>
      <c r="E486" s="18" t="s">
        <v>9820</v>
      </c>
      <c r="F486" s="18" t="s">
        <v>3557</v>
      </c>
    </row>
    <row r="487" spans="1:6" ht="20.100000000000001" customHeight="1">
      <c r="A487" s="27" t="s">
        <v>350</v>
      </c>
      <c r="C487" s="16"/>
      <c r="E487" s="18" t="s">
        <v>9821</v>
      </c>
      <c r="F487" s="18" t="s">
        <v>3563</v>
      </c>
    </row>
    <row r="488" spans="1:6" ht="20.100000000000001" customHeight="1">
      <c r="A488" s="27" t="s">
        <v>350</v>
      </c>
      <c r="C488" s="16"/>
      <c r="E488" s="18" t="s">
        <v>9822</v>
      </c>
      <c r="F488" s="18" t="s">
        <v>3569</v>
      </c>
    </row>
    <row r="489" spans="1:6" ht="20.100000000000001" customHeight="1">
      <c r="A489" s="27" t="s">
        <v>350</v>
      </c>
      <c r="C489" s="16"/>
      <c r="E489" s="18" t="s">
        <v>9823</v>
      </c>
      <c r="F489" s="18" t="s">
        <v>3576</v>
      </c>
    </row>
    <row r="490" spans="1:6" ht="20.100000000000001" customHeight="1">
      <c r="A490" s="27" t="s">
        <v>350</v>
      </c>
      <c r="C490" s="16"/>
      <c r="E490" s="18" t="s">
        <v>9824</v>
      </c>
      <c r="F490" s="18" t="s">
        <v>3583</v>
      </c>
    </row>
    <row r="491" spans="1:6" ht="20.100000000000001" customHeight="1">
      <c r="A491" s="27" t="s">
        <v>350</v>
      </c>
      <c r="C491" s="16"/>
      <c r="E491" s="18" t="s">
        <v>9825</v>
      </c>
      <c r="F491" s="18" t="s">
        <v>3589</v>
      </c>
    </row>
    <row r="492" spans="1:6" ht="20.100000000000001" customHeight="1">
      <c r="A492" s="27" t="s">
        <v>350</v>
      </c>
      <c r="C492" s="16"/>
      <c r="E492" s="18" t="s">
        <v>9826</v>
      </c>
      <c r="F492" s="18" t="s">
        <v>3595</v>
      </c>
    </row>
    <row r="493" spans="1:6" ht="20.100000000000001" customHeight="1">
      <c r="A493" s="27" t="s">
        <v>350</v>
      </c>
      <c r="C493" s="16"/>
      <c r="E493" s="18" t="s">
        <v>9827</v>
      </c>
      <c r="F493" s="18" t="s">
        <v>3601</v>
      </c>
    </row>
    <row r="494" spans="1:6" ht="20.100000000000001" customHeight="1">
      <c r="A494" s="27" t="s">
        <v>350</v>
      </c>
      <c r="C494" s="16"/>
      <c r="E494" s="18" t="s">
        <v>9828</v>
      </c>
      <c r="F494" s="18" t="s">
        <v>3607</v>
      </c>
    </row>
    <row r="495" spans="1:6" ht="20.100000000000001" customHeight="1">
      <c r="A495" s="27" t="s">
        <v>350</v>
      </c>
      <c r="C495" s="16"/>
      <c r="E495" s="18" t="s">
        <v>9829</v>
      </c>
      <c r="F495" s="18" t="s">
        <v>3613</v>
      </c>
    </row>
    <row r="496" spans="1:6" ht="20.100000000000001" customHeight="1">
      <c r="A496" s="27" t="s">
        <v>350</v>
      </c>
      <c r="C496" s="16"/>
      <c r="E496" s="18" t="s">
        <v>9830</v>
      </c>
      <c r="F496" s="18" t="s">
        <v>3619</v>
      </c>
    </row>
    <row r="497" spans="1:6" ht="20.100000000000001" customHeight="1">
      <c r="A497" s="27" t="s">
        <v>350</v>
      </c>
      <c r="C497" s="16"/>
      <c r="E497" s="18" t="s">
        <v>2820</v>
      </c>
      <c r="F497" s="18" t="s">
        <v>3625</v>
      </c>
    </row>
    <row r="498" spans="1:6" ht="20.100000000000001" customHeight="1">
      <c r="A498" s="27" t="s">
        <v>350</v>
      </c>
      <c r="C498" s="16"/>
      <c r="E498" s="18" t="s">
        <v>9831</v>
      </c>
      <c r="F498" s="18" t="s">
        <v>3632</v>
      </c>
    </row>
    <row r="499" spans="1:6" ht="20.100000000000001" customHeight="1">
      <c r="A499" s="27" t="s">
        <v>350</v>
      </c>
      <c r="C499" s="16"/>
      <c r="E499" s="18" t="s">
        <v>9832</v>
      </c>
      <c r="F499" s="18" t="s">
        <v>3638</v>
      </c>
    </row>
    <row r="500" spans="1:6" ht="20.100000000000001" customHeight="1">
      <c r="A500" s="27" t="s">
        <v>350</v>
      </c>
      <c r="C500" s="16"/>
      <c r="E500" s="18" t="s">
        <v>9833</v>
      </c>
      <c r="F500" s="18" t="s">
        <v>3645</v>
      </c>
    </row>
    <row r="501" spans="1:6" ht="20.100000000000001" customHeight="1">
      <c r="A501" s="27" t="s">
        <v>350</v>
      </c>
      <c r="C501" s="16"/>
      <c r="E501" s="18" t="s">
        <v>9834</v>
      </c>
      <c r="F501" s="18" t="s">
        <v>3651</v>
      </c>
    </row>
    <row r="502" spans="1:6" ht="20.100000000000001" customHeight="1">
      <c r="A502" s="27" t="s">
        <v>350</v>
      </c>
      <c r="C502" s="16"/>
      <c r="E502" s="18" t="s">
        <v>9835</v>
      </c>
      <c r="F502" s="18" t="s">
        <v>3657</v>
      </c>
    </row>
    <row r="503" spans="1:6" ht="20.100000000000001" customHeight="1">
      <c r="A503" s="27" t="s">
        <v>350</v>
      </c>
      <c r="C503" s="16"/>
      <c r="E503" s="18" t="s">
        <v>9836</v>
      </c>
      <c r="F503" s="18" t="s">
        <v>3663</v>
      </c>
    </row>
    <row r="504" spans="1:6" ht="20.100000000000001" customHeight="1">
      <c r="A504" s="27" t="s">
        <v>350</v>
      </c>
      <c r="C504" s="16"/>
      <c r="E504" s="18" t="s">
        <v>9837</v>
      </c>
      <c r="F504" s="18" t="s">
        <v>3669</v>
      </c>
    </row>
    <row r="505" spans="1:6" ht="20.100000000000001" customHeight="1">
      <c r="A505" s="27" t="s">
        <v>350</v>
      </c>
      <c r="C505" s="16"/>
      <c r="E505" s="18" t="s">
        <v>9838</v>
      </c>
      <c r="F505" s="18" t="s">
        <v>3675</v>
      </c>
    </row>
    <row r="506" spans="1:6" ht="20.100000000000001" customHeight="1">
      <c r="A506" s="27" t="s">
        <v>350</v>
      </c>
      <c r="C506" s="16"/>
      <c r="E506" s="18" t="s">
        <v>9839</v>
      </c>
      <c r="F506" s="18" t="s">
        <v>3681</v>
      </c>
    </row>
    <row r="507" spans="1:6" ht="20.100000000000001" customHeight="1">
      <c r="A507" s="27" t="s">
        <v>350</v>
      </c>
      <c r="C507" s="16"/>
      <c r="E507" s="18" t="s">
        <v>9840</v>
      </c>
      <c r="F507" s="18" t="s">
        <v>3687</v>
      </c>
    </row>
    <row r="508" spans="1:6" ht="20.100000000000001" customHeight="1">
      <c r="A508" s="27" t="s">
        <v>350</v>
      </c>
      <c r="C508" s="16"/>
      <c r="E508" s="18" t="s">
        <v>9841</v>
      </c>
      <c r="F508" s="18" t="s">
        <v>3693</v>
      </c>
    </row>
    <row r="509" spans="1:6" ht="20.100000000000001" customHeight="1">
      <c r="A509" s="27" t="s">
        <v>350</v>
      </c>
      <c r="C509" s="16"/>
      <c r="E509" s="18" t="s">
        <v>9842</v>
      </c>
      <c r="F509" s="18" t="s">
        <v>3699</v>
      </c>
    </row>
    <row r="510" spans="1:6" ht="20.100000000000001" customHeight="1">
      <c r="A510" s="27" t="s">
        <v>350</v>
      </c>
      <c r="C510" s="16"/>
      <c r="E510" s="18" t="s">
        <v>9843</v>
      </c>
      <c r="F510" s="18" t="s">
        <v>3706</v>
      </c>
    </row>
    <row r="511" spans="1:6" ht="20.100000000000001" customHeight="1">
      <c r="A511" s="27" t="s">
        <v>350</v>
      </c>
      <c r="C511" s="16"/>
      <c r="E511" s="18" t="s">
        <v>9844</v>
      </c>
      <c r="F511" s="18" t="s">
        <v>3712</v>
      </c>
    </row>
    <row r="512" spans="1:6" ht="20.100000000000001" customHeight="1">
      <c r="A512" s="27" t="s">
        <v>350</v>
      </c>
      <c r="C512" s="16"/>
      <c r="E512" s="18" t="s">
        <v>9845</v>
      </c>
      <c r="F512" s="18" t="s">
        <v>3717</v>
      </c>
    </row>
    <row r="513" spans="1:6" ht="20.100000000000001" customHeight="1">
      <c r="A513" s="27" t="s">
        <v>350</v>
      </c>
      <c r="C513" s="16"/>
      <c r="E513" s="18" t="s">
        <v>9846</v>
      </c>
      <c r="F513" s="18" t="s">
        <v>3723</v>
      </c>
    </row>
    <row r="514" spans="1:6" ht="20.100000000000001" customHeight="1">
      <c r="A514" s="27" t="s">
        <v>350</v>
      </c>
      <c r="C514" s="16"/>
      <c r="E514" s="18" t="s">
        <v>9847</v>
      </c>
      <c r="F514" s="18" t="s">
        <v>3729</v>
      </c>
    </row>
    <row r="515" spans="1:6" ht="20.100000000000001" customHeight="1">
      <c r="A515" s="27" t="s">
        <v>350</v>
      </c>
      <c r="C515" s="16"/>
      <c r="E515" s="18" t="s">
        <v>9848</v>
      </c>
      <c r="F515" s="18" t="s">
        <v>3738</v>
      </c>
    </row>
    <row r="516" spans="1:6" ht="20.100000000000001" customHeight="1">
      <c r="A516" s="27" t="s">
        <v>350</v>
      </c>
      <c r="C516" s="16"/>
      <c r="E516" s="18" t="s">
        <v>9849</v>
      </c>
      <c r="F516" s="18" t="s">
        <v>3746</v>
      </c>
    </row>
    <row r="517" spans="1:6" ht="20.100000000000001" customHeight="1">
      <c r="A517" s="27" t="s">
        <v>350</v>
      </c>
      <c r="C517" s="16"/>
      <c r="E517" s="18" t="s">
        <v>9850</v>
      </c>
      <c r="F517" s="18" t="s">
        <v>3754</v>
      </c>
    </row>
    <row r="518" spans="1:6" ht="20.100000000000001" customHeight="1">
      <c r="A518" s="27" t="s">
        <v>350</v>
      </c>
      <c r="C518" s="16"/>
      <c r="E518" s="18" t="s">
        <v>9851</v>
      </c>
      <c r="F518" s="18" t="s">
        <v>3761</v>
      </c>
    </row>
    <row r="519" spans="1:6" ht="20.100000000000001" customHeight="1">
      <c r="A519" s="27" t="s">
        <v>350</v>
      </c>
      <c r="C519" s="16"/>
      <c r="E519" s="18" t="s">
        <v>9852</v>
      </c>
      <c r="F519" s="18" t="s">
        <v>3768</v>
      </c>
    </row>
    <row r="520" spans="1:6" ht="20.100000000000001" customHeight="1">
      <c r="A520" s="27" t="s">
        <v>350</v>
      </c>
      <c r="C520" s="16"/>
      <c r="E520" s="18" t="s">
        <v>9853</v>
      </c>
      <c r="F520" s="18" t="s">
        <v>3774</v>
      </c>
    </row>
    <row r="521" spans="1:6" ht="20.100000000000001" customHeight="1">
      <c r="A521" s="27" t="s">
        <v>350</v>
      </c>
      <c r="C521" s="16"/>
      <c r="E521" s="18" t="s">
        <v>9854</v>
      </c>
      <c r="F521" s="18" t="s">
        <v>3781</v>
      </c>
    </row>
    <row r="522" spans="1:6" ht="20.100000000000001" customHeight="1">
      <c r="A522" s="27" t="s">
        <v>350</v>
      </c>
      <c r="C522" s="16"/>
      <c r="E522" s="18" t="s">
        <v>9855</v>
      </c>
      <c r="F522" s="18" t="s">
        <v>3787</v>
      </c>
    </row>
    <row r="523" spans="1:6" ht="20.100000000000001" customHeight="1">
      <c r="A523" s="27" t="s">
        <v>350</v>
      </c>
      <c r="C523" s="16"/>
      <c r="E523" s="18" t="s">
        <v>9856</v>
      </c>
      <c r="F523" s="18" t="s">
        <v>3793</v>
      </c>
    </row>
    <row r="524" spans="1:6" ht="20.100000000000001" customHeight="1">
      <c r="A524" s="27" t="s">
        <v>350</v>
      </c>
      <c r="C524" s="16"/>
      <c r="E524" s="18" t="s">
        <v>9857</v>
      </c>
      <c r="F524" s="18" t="s">
        <v>3800</v>
      </c>
    </row>
    <row r="525" spans="1:6" ht="20.100000000000001" customHeight="1">
      <c r="A525" s="27" t="s">
        <v>350</v>
      </c>
      <c r="C525" s="16"/>
      <c r="E525" s="18" t="s">
        <v>9858</v>
      </c>
      <c r="F525" s="18" t="s">
        <v>3807</v>
      </c>
    </row>
    <row r="526" spans="1:6" ht="20.100000000000001" customHeight="1">
      <c r="A526" s="27" t="s">
        <v>350</v>
      </c>
      <c r="C526" s="16"/>
      <c r="E526" s="18" t="s">
        <v>9859</v>
      </c>
      <c r="F526" s="18" t="s">
        <v>3814</v>
      </c>
    </row>
    <row r="527" spans="1:6" ht="20.100000000000001" customHeight="1">
      <c r="A527" s="27" t="s">
        <v>350</v>
      </c>
      <c r="C527" s="16"/>
      <c r="E527" s="18" t="s">
        <v>9860</v>
      </c>
      <c r="F527" s="18" t="s">
        <v>3820</v>
      </c>
    </row>
    <row r="528" spans="1:6" ht="20.100000000000001" customHeight="1">
      <c r="A528" s="27" t="s">
        <v>350</v>
      </c>
      <c r="C528" s="16"/>
      <c r="E528" s="18" t="s">
        <v>9861</v>
      </c>
      <c r="F528" s="18" t="s">
        <v>3827</v>
      </c>
    </row>
    <row r="529" spans="1:7" ht="20.100000000000001" customHeight="1">
      <c r="A529" s="27" t="s">
        <v>350</v>
      </c>
      <c r="C529" s="16"/>
      <c r="E529" s="18" t="s">
        <v>9862</v>
      </c>
      <c r="F529" s="18" t="s">
        <v>3835</v>
      </c>
    </row>
    <row r="530" spans="1:7" ht="20.100000000000001" customHeight="1">
      <c r="A530" s="27" t="s">
        <v>350</v>
      </c>
      <c r="C530" s="16"/>
      <c r="E530" s="18" t="s">
        <v>9863</v>
      </c>
      <c r="F530" s="18" t="s">
        <v>3842</v>
      </c>
    </row>
    <row r="531" spans="1:7" ht="20.100000000000001" customHeight="1">
      <c r="A531" s="27" t="s">
        <v>350</v>
      </c>
      <c r="C531" s="16"/>
      <c r="E531" s="18" t="s">
        <v>9864</v>
      </c>
      <c r="F531" s="18" t="s">
        <v>3850</v>
      </c>
    </row>
    <row r="532" spans="1:7" ht="20.100000000000001" customHeight="1">
      <c r="A532" s="27" t="s">
        <v>350</v>
      </c>
      <c r="C532" s="16"/>
      <c r="E532" s="18" t="s">
        <v>9865</v>
      </c>
      <c r="F532" s="18" t="s">
        <v>3857</v>
      </c>
      <c r="G532" s="18"/>
    </row>
    <row r="533" spans="1:7" ht="20.100000000000001" customHeight="1">
      <c r="A533" s="27" t="s">
        <v>350</v>
      </c>
      <c r="C533" s="16"/>
      <c r="E533" s="18" t="s">
        <v>9866</v>
      </c>
      <c r="F533" s="18" t="s">
        <v>3864</v>
      </c>
      <c r="G533" s="18"/>
    </row>
    <row r="534" spans="1:7" ht="20.100000000000001" customHeight="1">
      <c r="A534" s="27" t="s">
        <v>350</v>
      </c>
      <c r="C534" s="16"/>
      <c r="E534" s="18" t="s">
        <v>9867</v>
      </c>
      <c r="F534" s="18" t="s">
        <v>3871</v>
      </c>
      <c r="G534" s="18"/>
    </row>
    <row r="535" spans="1:7" ht="20.100000000000001" customHeight="1">
      <c r="A535" s="27" t="s">
        <v>350</v>
      </c>
      <c r="C535" s="16"/>
      <c r="E535" s="18" t="s">
        <v>9868</v>
      </c>
      <c r="F535" s="18" t="s">
        <v>3878</v>
      </c>
      <c r="G535" s="18"/>
    </row>
    <row r="536" spans="1:7" ht="20.100000000000001" customHeight="1">
      <c r="A536" s="27" t="s">
        <v>350</v>
      </c>
      <c r="C536" s="16"/>
      <c r="E536" s="18" t="s">
        <v>9869</v>
      </c>
      <c r="F536" s="18" t="s">
        <v>3885</v>
      </c>
      <c r="G536" s="18"/>
    </row>
    <row r="537" spans="1:7" ht="20.100000000000001" customHeight="1">
      <c r="A537" s="27" t="s">
        <v>350</v>
      </c>
      <c r="C537" s="16"/>
      <c r="E537" s="18" t="s">
        <v>9870</v>
      </c>
      <c r="F537" s="18" t="s">
        <v>3892</v>
      </c>
      <c r="G537" s="18"/>
    </row>
    <row r="538" spans="1:7" ht="20.100000000000001" customHeight="1">
      <c r="A538" s="27" t="s">
        <v>350</v>
      </c>
      <c r="C538" s="16"/>
      <c r="E538" s="18" t="s">
        <v>9871</v>
      </c>
      <c r="F538" s="18" t="s">
        <v>3899</v>
      </c>
      <c r="G538" s="18"/>
    </row>
    <row r="539" spans="1:7" ht="20.100000000000001" customHeight="1">
      <c r="A539" s="27" t="s">
        <v>350</v>
      </c>
      <c r="C539" s="16"/>
      <c r="E539" s="18" t="s">
        <v>9872</v>
      </c>
      <c r="F539" s="18" t="s">
        <v>3906</v>
      </c>
      <c r="G539" s="18"/>
    </row>
    <row r="540" spans="1:7" ht="20.100000000000001" customHeight="1">
      <c r="A540" s="27" t="s">
        <v>350</v>
      </c>
      <c r="C540" s="16"/>
      <c r="E540" s="18" t="s">
        <v>9873</v>
      </c>
      <c r="F540" s="18" t="s">
        <v>3914</v>
      </c>
      <c r="G540" s="18"/>
    </row>
    <row r="541" spans="1:7" ht="20.100000000000001" customHeight="1">
      <c r="A541" s="27" t="s">
        <v>350</v>
      </c>
      <c r="C541" s="16"/>
      <c r="E541" s="18" t="s">
        <v>9874</v>
      </c>
      <c r="F541" s="18" t="s">
        <v>3921</v>
      </c>
      <c r="G541" s="18"/>
    </row>
    <row r="542" spans="1:7" ht="20.100000000000001" customHeight="1">
      <c r="A542" s="27" t="s">
        <v>350</v>
      </c>
      <c r="C542" s="16"/>
      <c r="E542" s="18" t="s">
        <v>10439</v>
      </c>
      <c r="F542" s="18" t="s">
        <v>3929</v>
      </c>
      <c r="G542" s="18"/>
    </row>
    <row r="543" spans="1:7" ht="20.100000000000001" customHeight="1">
      <c r="A543" s="27" t="s">
        <v>350</v>
      </c>
      <c r="C543" s="16"/>
      <c r="E543" s="18" t="s">
        <v>9875</v>
      </c>
      <c r="F543" s="18" t="s">
        <v>3936</v>
      </c>
      <c r="G543" s="18"/>
    </row>
    <row r="544" spans="1:7" ht="20.100000000000001" customHeight="1">
      <c r="A544" s="27" t="s">
        <v>350</v>
      </c>
      <c r="C544" s="16"/>
      <c r="E544" s="18" t="s">
        <v>9876</v>
      </c>
      <c r="F544" s="18" t="s">
        <v>3944</v>
      </c>
      <c r="G544" s="18"/>
    </row>
    <row r="545" spans="1:7" ht="20.100000000000001" customHeight="1">
      <c r="A545" s="27" t="s">
        <v>350</v>
      </c>
      <c r="C545" s="16"/>
      <c r="E545" s="18" t="s">
        <v>9877</v>
      </c>
      <c r="F545" s="18" t="s">
        <v>3951</v>
      </c>
      <c r="G545" s="18"/>
    </row>
    <row r="546" spans="1:7" ht="20.100000000000001" customHeight="1">
      <c r="A546" s="27" t="s">
        <v>350</v>
      </c>
      <c r="C546" s="16"/>
      <c r="E546" s="18" t="s">
        <v>9878</v>
      </c>
      <c r="F546" s="18" t="s">
        <v>3958</v>
      </c>
      <c r="G546" s="18"/>
    </row>
    <row r="547" spans="1:7" ht="20.100000000000001" customHeight="1">
      <c r="A547" s="27" t="s">
        <v>350</v>
      </c>
      <c r="C547" s="16"/>
      <c r="E547" s="18" t="s">
        <v>9879</v>
      </c>
      <c r="F547" s="18" t="s">
        <v>3965</v>
      </c>
      <c r="G547" s="18"/>
    </row>
    <row r="548" spans="1:7" ht="20.100000000000001" customHeight="1">
      <c r="A548" s="27" t="s">
        <v>350</v>
      </c>
      <c r="C548" s="16"/>
      <c r="E548" s="18" t="s">
        <v>9880</v>
      </c>
      <c r="F548" s="18" t="s">
        <v>3972</v>
      </c>
      <c r="G548" s="18"/>
    </row>
    <row r="549" spans="1:7" ht="20.100000000000001" customHeight="1">
      <c r="A549" s="27" t="s">
        <v>350</v>
      </c>
      <c r="C549" s="16"/>
      <c r="E549" s="18" t="s">
        <v>9881</v>
      </c>
      <c r="F549" s="18" t="s">
        <v>3979</v>
      </c>
      <c r="G549" s="18"/>
    </row>
    <row r="550" spans="1:7" ht="20.100000000000001" customHeight="1">
      <c r="A550" s="27" t="s">
        <v>350</v>
      </c>
      <c r="C550" s="16"/>
      <c r="E550" s="18" t="s">
        <v>9882</v>
      </c>
      <c r="F550" s="18" t="s">
        <v>3986</v>
      </c>
      <c r="G550" s="18"/>
    </row>
    <row r="551" spans="1:7" ht="20.100000000000001" customHeight="1">
      <c r="A551" s="27" t="s">
        <v>350</v>
      </c>
      <c r="C551" s="16"/>
      <c r="E551" s="18" t="s">
        <v>9883</v>
      </c>
      <c r="F551" s="18" t="s">
        <v>3992</v>
      </c>
      <c r="G551" s="18"/>
    </row>
    <row r="552" spans="1:7" ht="20.100000000000001" customHeight="1">
      <c r="A552" s="27" t="s">
        <v>350</v>
      </c>
      <c r="C552" s="16"/>
      <c r="E552" s="18" t="s">
        <v>9884</v>
      </c>
      <c r="F552" s="18" t="s">
        <v>10462</v>
      </c>
      <c r="G552" s="18"/>
    </row>
    <row r="553" spans="1:7" ht="20.100000000000001" customHeight="1">
      <c r="A553" s="27" t="s">
        <v>350</v>
      </c>
      <c r="C553" s="16"/>
      <c r="E553" s="18" t="s">
        <v>9885</v>
      </c>
      <c r="F553" s="18" t="s">
        <v>3999</v>
      </c>
      <c r="G553" s="18"/>
    </row>
    <row r="554" spans="1:7" ht="20.100000000000001" customHeight="1">
      <c r="A554" s="27" t="s">
        <v>350</v>
      </c>
      <c r="C554" s="16"/>
      <c r="E554" s="18" t="s">
        <v>9886</v>
      </c>
      <c r="F554" s="18" t="s">
        <v>4006</v>
      </c>
      <c r="G554" s="18"/>
    </row>
    <row r="555" spans="1:7" ht="20.100000000000001" customHeight="1">
      <c r="A555" s="27" t="s">
        <v>350</v>
      </c>
      <c r="C555" s="16"/>
      <c r="E555" s="18" t="s">
        <v>9887</v>
      </c>
      <c r="F555" s="18" t="s">
        <v>10459</v>
      </c>
      <c r="G555" s="18"/>
    </row>
    <row r="556" spans="1:7" ht="20.100000000000001" customHeight="1">
      <c r="A556" s="27" t="s">
        <v>350</v>
      </c>
      <c r="C556" s="16"/>
      <c r="E556" s="18" t="s">
        <v>9888</v>
      </c>
      <c r="F556" s="18" t="s">
        <v>4014</v>
      </c>
      <c r="G556" s="18"/>
    </row>
    <row r="557" spans="1:7" ht="20.100000000000001" customHeight="1">
      <c r="A557" s="27" t="s">
        <v>350</v>
      </c>
      <c r="C557" s="16"/>
      <c r="E557" s="18" t="s">
        <v>9889</v>
      </c>
      <c r="F557" s="18" t="s">
        <v>4020</v>
      </c>
      <c r="G557" s="18"/>
    </row>
    <row r="558" spans="1:7" ht="20.100000000000001" customHeight="1">
      <c r="A558" s="27" t="s">
        <v>350</v>
      </c>
      <c r="C558" s="16"/>
      <c r="E558" s="18" t="s">
        <v>9890</v>
      </c>
      <c r="F558" s="18" t="s">
        <v>4025</v>
      </c>
    </row>
    <row r="559" spans="1:7" ht="20.100000000000001" customHeight="1">
      <c r="A559" s="27" t="s">
        <v>350</v>
      </c>
      <c r="C559" s="16"/>
      <c r="E559" s="18" t="s">
        <v>9891</v>
      </c>
      <c r="F559" s="18" t="s">
        <v>4028</v>
      </c>
    </row>
    <row r="560" spans="1:7" ht="20.100000000000001" customHeight="1">
      <c r="A560" s="27" t="s">
        <v>350</v>
      </c>
      <c r="C560" s="16"/>
      <c r="E560" s="18" t="s">
        <v>9892</v>
      </c>
      <c r="F560" s="18" t="s">
        <v>4033</v>
      </c>
    </row>
    <row r="561" spans="1:6" ht="20.100000000000001" customHeight="1">
      <c r="A561" s="27" t="s">
        <v>350</v>
      </c>
      <c r="C561" s="16"/>
      <c r="E561" s="18" t="s">
        <v>9893</v>
      </c>
      <c r="F561" s="18" t="s">
        <v>4040</v>
      </c>
    </row>
    <row r="562" spans="1:6" ht="20.100000000000001" customHeight="1">
      <c r="A562" s="27" t="s">
        <v>350</v>
      </c>
      <c r="C562" s="16"/>
      <c r="E562" s="18" t="s">
        <v>9894</v>
      </c>
      <c r="F562" s="18" t="s">
        <v>4045</v>
      </c>
    </row>
    <row r="563" spans="1:6" ht="20.100000000000001" customHeight="1">
      <c r="A563" s="27" t="s">
        <v>350</v>
      </c>
      <c r="C563" s="16"/>
      <c r="E563" s="18" t="s">
        <v>9895</v>
      </c>
      <c r="F563" s="18" t="s">
        <v>4050</v>
      </c>
    </row>
    <row r="564" spans="1:6" ht="20.100000000000001" customHeight="1">
      <c r="A564" s="27" t="s">
        <v>350</v>
      </c>
      <c r="C564" s="16"/>
      <c r="E564" s="18" t="s">
        <v>9896</v>
      </c>
      <c r="F564" s="18" t="s">
        <v>4055</v>
      </c>
    </row>
    <row r="565" spans="1:6" ht="20.100000000000001" customHeight="1">
      <c r="A565" s="27" t="s">
        <v>350</v>
      </c>
      <c r="C565" s="16"/>
      <c r="E565" s="18" t="s">
        <v>9897</v>
      </c>
      <c r="F565" s="18" t="s">
        <v>4060</v>
      </c>
    </row>
    <row r="566" spans="1:6" ht="20.100000000000001" customHeight="1">
      <c r="A566" s="27" t="s">
        <v>350</v>
      </c>
      <c r="C566" s="16"/>
      <c r="E566" s="18" t="s">
        <v>9898</v>
      </c>
      <c r="F566" s="18" t="s">
        <v>4065</v>
      </c>
    </row>
    <row r="567" spans="1:6" ht="20.100000000000001" customHeight="1">
      <c r="A567" s="27" t="s">
        <v>350</v>
      </c>
      <c r="C567" s="16"/>
      <c r="E567" s="18" t="s">
        <v>9899</v>
      </c>
      <c r="F567" s="18" t="s">
        <v>4154</v>
      </c>
    </row>
    <row r="568" spans="1:6" ht="20.100000000000001" customHeight="1">
      <c r="A568" s="27" t="s">
        <v>350</v>
      </c>
      <c r="C568" s="16"/>
      <c r="E568" s="18" t="s">
        <v>9900</v>
      </c>
      <c r="F568" s="18" t="s">
        <v>4159</v>
      </c>
    </row>
    <row r="569" spans="1:6" ht="20.100000000000001" customHeight="1">
      <c r="A569" s="27" t="s">
        <v>350</v>
      </c>
      <c r="C569" s="16"/>
      <c r="E569" s="18" t="s">
        <v>9901</v>
      </c>
      <c r="F569" s="18" t="s">
        <v>4163</v>
      </c>
    </row>
    <row r="570" spans="1:6" ht="20.100000000000001" customHeight="1">
      <c r="A570" s="27" t="s">
        <v>350</v>
      </c>
      <c r="C570" s="16"/>
      <c r="E570" s="18" t="s">
        <v>9902</v>
      </c>
      <c r="F570" s="18" t="s">
        <v>4168</v>
      </c>
    </row>
    <row r="571" spans="1:6" ht="20.100000000000001" customHeight="1">
      <c r="A571" s="27" t="s">
        <v>350</v>
      </c>
      <c r="C571" s="16"/>
      <c r="E571" s="18" t="s">
        <v>9903</v>
      </c>
      <c r="F571" s="18" t="s">
        <v>4173</v>
      </c>
    </row>
    <row r="572" spans="1:6" ht="20.100000000000001" customHeight="1">
      <c r="A572" s="27" t="s">
        <v>350</v>
      </c>
      <c r="C572" s="16"/>
      <c r="E572" s="18" t="s">
        <v>9904</v>
      </c>
      <c r="F572" s="18" t="s">
        <v>4178</v>
      </c>
    </row>
    <row r="573" spans="1:6" ht="20.100000000000001" customHeight="1">
      <c r="A573" s="27" t="s">
        <v>350</v>
      </c>
      <c r="C573" s="16"/>
      <c r="E573" s="18" t="s">
        <v>9905</v>
      </c>
      <c r="F573" s="18" t="s">
        <v>4183</v>
      </c>
    </row>
    <row r="574" spans="1:6" ht="20.100000000000001" customHeight="1">
      <c r="A574" s="27" t="s">
        <v>350</v>
      </c>
      <c r="C574" s="16"/>
      <c r="E574" s="18" t="s">
        <v>9906</v>
      </c>
      <c r="F574" s="18" t="s">
        <v>4191</v>
      </c>
    </row>
    <row r="575" spans="1:6" ht="20.100000000000001" customHeight="1">
      <c r="A575" s="27" t="s">
        <v>350</v>
      </c>
      <c r="C575" s="16"/>
      <c r="E575" s="18" t="s">
        <v>9907</v>
      </c>
      <c r="F575" s="18" t="s">
        <v>4197</v>
      </c>
    </row>
    <row r="576" spans="1:6" ht="20.100000000000001" customHeight="1">
      <c r="A576" s="27" t="s">
        <v>350</v>
      </c>
      <c r="C576" s="16"/>
      <c r="E576" s="18" t="s">
        <v>9908</v>
      </c>
      <c r="F576" s="18" t="s">
        <v>4202</v>
      </c>
    </row>
    <row r="577" spans="1:6" ht="20.100000000000001" customHeight="1">
      <c r="A577" s="27" t="s">
        <v>350</v>
      </c>
      <c r="C577" s="16"/>
      <c r="E577" s="18" t="s">
        <v>9909</v>
      </c>
      <c r="F577" s="18" t="s">
        <v>4207</v>
      </c>
    </row>
    <row r="578" spans="1:6" ht="20.100000000000001" customHeight="1">
      <c r="A578" s="27" t="s">
        <v>350</v>
      </c>
      <c r="C578" s="16"/>
      <c r="E578" s="18" t="s">
        <v>9910</v>
      </c>
      <c r="F578" s="18" t="s">
        <v>4213</v>
      </c>
    </row>
    <row r="579" spans="1:6" ht="20.100000000000001" customHeight="1">
      <c r="A579" s="27" t="s">
        <v>350</v>
      </c>
      <c r="C579" s="16"/>
      <c r="E579" s="18" t="s">
        <v>9911</v>
      </c>
      <c r="F579" s="18" t="s">
        <v>4218</v>
      </c>
    </row>
    <row r="580" spans="1:6" ht="20.100000000000001" customHeight="1">
      <c r="A580" s="27" t="s">
        <v>350</v>
      </c>
      <c r="C580" s="16"/>
      <c r="E580" s="18" t="s">
        <v>9912</v>
      </c>
      <c r="F580" s="18" t="s">
        <v>4223</v>
      </c>
    </row>
    <row r="581" spans="1:6" ht="20.100000000000001" customHeight="1">
      <c r="A581" s="27" t="s">
        <v>350</v>
      </c>
      <c r="C581" s="16"/>
      <c r="E581" s="18" t="s">
        <v>9913</v>
      </c>
      <c r="F581" s="18" t="s">
        <v>4228</v>
      </c>
    </row>
    <row r="582" spans="1:6" ht="20.100000000000001" customHeight="1">
      <c r="A582" s="27" t="s">
        <v>350</v>
      </c>
      <c r="C582" s="16"/>
      <c r="E582" s="18" t="s">
        <v>9914</v>
      </c>
      <c r="F582" s="18" t="s">
        <v>4233</v>
      </c>
    </row>
    <row r="583" spans="1:6" ht="20.100000000000001" customHeight="1">
      <c r="A583" s="27" t="s">
        <v>350</v>
      </c>
      <c r="C583" s="16"/>
      <c r="E583" s="18" t="s">
        <v>9915</v>
      </c>
      <c r="F583" s="18" t="s">
        <v>4238</v>
      </c>
    </row>
    <row r="584" spans="1:6" ht="20.100000000000001" customHeight="1">
      <c r="A584" s="27" t="s">
        <v>350</v>
      </c>
      <c r="C584" s="16"/>
      <c r="E584" s="18" t="s">
        <v>9916</v>
      </c>
      <c r="F584" s="18" t="s">
        <v>4243</v>
      </c>
    </row>
    <row r="585" spans="1:6" ht="20.100000000000001" customHeight="1">
      <c r="A585" s="27" t="s">
        <v>350</v>
      </c>
      <c r="C585" s="16"/>
      <c r="E585" s="18" t="s">
        <v>9917</v>
      </c>
      <c r="F585" s="18" t="s">
        <v>4248</v>
      </c>
    </row>
    <row r="586" spans="1:6" ht="20.100000000000001" customHeight="1">
      <c r="A586" s="27" t="s">
        <v>350</v>
      </c>
      <c r="C586" s="16"/>
      <c r="E586" s="18" t="s">
        <v>9918</v>
      </c>
      <c r="F586" s="18" t="s">
        <v>4253</v>
      </c>
    </row>
    <row r="587" spans="1:6" ht="20.100000000000001" customHeight="1">
      <c r="A587" s="27" t="s">
        <v>350</v>
      </c>
      <c r="C587" s="16"/>
      <c r="E587" s="18" t="s">
        <v>9919</v>
      </c>
      <c r="F587" s="18" t="s">
        <v>4259</v>
      </c>
    </row>
    <row r="588" spans="1:6" ht="20.100000000000001" customHeight="1">
      <c r="A588" s="27" t="s">
        <v>350</v>
      </c>
      <c r="C588" s="16"/>
      <c r="E588" s="18" t="s">
        <v>9920</v>
      </c>
      <c r="F588" s="18" t="s">
        <v>4265</v>
      </c>
    </row>
    <row r="589" spans="1:6" ht="20.100000000000001" customHeight="1">
      <c r="A589" s="27" t="s">
        <v>350</v>
      </c>
      <c r="C589" s="16"/>
      <c r="E589" s="18" t="s">
        <v>9921</v>
      </c>
      <c r="F589" s="18" t="s">
        <v>4270</v>
      </c>
    </row>
    <row r="590" spans="1:6" ht="20.100000000000001" customHeight="1">
      <c r="A590" s="27" t="s">
        <v>350</v>
      </c>
      <c r="C590" s="16"/>
      <c r="E590" s="18" t="s">
        <v>9922</v>
      </c>
      <c r="F590" s="18" t="s">
        <v>4276</v>
      </c>
    </row>
    <row r="591" spans="1:6" ht="20.100000000000001" customHeight="1">
      <c r="A591" s="27" t="s">
        <v>350</v>
      </c>
      <c r="C591" s="16"/>
      <c r="E591" s="18" t="s">
        <v>9923</v>
      </c>
      <c r="F591" s="18" t="s">
        <v>4282</v>
      </c>
    </row>
    <row r="592" spans="1:6" ht="20.100000000000001" customHeight="1">
      <c r="A592" s="27" t="s">
        <v>350</v>
      </c>
      <c r="C592" s="16"/>
      <c r="E592" s="18" t="s">
        <v>9924</v>
      </c>
      <c r="F592" s="18" t="s">
        <v>4287</v>
      </c>
    </row>
    <row r="593" spans="1:6" ht="20.100000000000001" customHeight="1">
      <c r="A593" s="27" t="s">
        <v>350</v>
      </c>
      <c r="C593" s="16"/>
      <c r="E593" s="18" t="s">
        <v>9925</v>
      </c>
      <c r="F593" s="18" t="s">
        <v>4293</v>
      </c>
    </row>
    <row r="594" spans="1:6" ht="20.100000000000001" customHeight="1">
      <c r="A594" s="27" t="s">
        <v>350</v>
      </c>
      <c r="C594" s="16"/>
      <c r="E594" s="18" t="s">
        <v>10511</v>
      </c>
      <c r="F594" s="18" t="s">
        <v>4298</v>
      </c>
    </row>
    <row r="595" spans="1:6" ht="20.100000000000001" customHeight="1">
      <c r="A595" s="27" t="s">
        <v>350</v>
      </c>
      <c r="C595" s="16"/>
      <c r="E595" s="18" t="s">
        <v>9926</v>
      </c>
      <c r="F595" s="18" t="s">
        <v>4304</v>
      </c>
    </row>
    <row r="596" spans="1:6" ht="20.100000000000001" customHeight="1">
      <c r="A596" s="27" t="s">
        <v>350</v>
      </c>
      <c r="C596" s="16"/>
      <c r="E596" s="18" t="s">
        <v>9927</v>
      </c>
      <c r="F596" s="18" t="s">
        <v>4310</v>
      </c>
    </row>
    <row r="597" spans="1:6" ht="20.100000000000001" customHeight="1">
      <c r="A597" s="29" t="s">
        <v>350</v>
      </c>
      <c r="C597" s="16"/>
      <c r="E597" s="18" t="s">
        <v>9928</v>
      </c>
      <c r="F597" s="18" t="s">
        <v>4315</v>
      </c>
    </row>
    <row r="598" spans="1:6" ht="20.100000000000001" customHeight="1">
      <c r="A598" s="27" t="s">
        <v>350</v>
      </c>
      <c r="C598" s="16"/>
      <c r="E598" s="18" t="s">
        <v>9929</v>
      </c>
      <c r="F598" s="18" t="s">
        <v>4320</v>
      </c>
    </row>
    <row r="599" spans="1:6" ht="20.100000000000001" customHeight="1">
      <c r="A599" s="27" t="s">
        <v>350</v>
      </c>
      <c r="C599" s="16"/>
      <c r="E599" s="18" t="s">
        <v>9930</v>
      </c>
      <c r="F599" s="18" t="s">
        <v>4326</v>
      </c>
    </row>
    <row r="600" spans="1:6" ht="20.100000000000001" customHeight="1">
      <c r="A600" s="27" t="s">
        <v>350</v>
      </c>
      <c r="C600" s="16"/>
      <c r="E600" s="18" t="s">
        <v>9931</v>
      </c>
      <c r="F600" s="18" t="s">
        <v>4331</v>
      </c>
    </row>
    <row r="601" spans="1:6" ht="20.100000000000001" customHeight="1">
      <c r="A601" s="27" t="s">
        <v>350</v>
      </c>
      <c r="C601" s="16"/>
      <c r="E601" s="18" t="s">
        <v>9932</v>
      </c>
      <c r="F601" s="18" t="s">
        <v>4336</v>
      </c>
    </row>
    <row r="602" spans="1:6" ht="20.100000000000001" customHeight="1">
      <c r="A602" s="27" t="s">
        <v>350</v>
      </c>
      <c r="C602" s="16"/>
      <c r="E602" s="18" t="s">
        <v>9933</v>
      </c>
      <c r="F602" s="18" t="s">
        <v>4343</v>
      </c>
    </row>
    <row r="603" spans="1:6" ht="20.100000000000001" customHeight="1">
      <c r="A603" s="27" t="s">
        <v>350</v>
      </c>
      <c r="C603" s="16"/>
      <c r="E603" s="18" t="s">
        <v>9934</v>
      </c>
      <c r="F603" s="18" t="s">
        <v>4348</v>
      </c>
    </row>
    <row r="604" spans="1:6" ht="20.100000000000001" customHeight="1">
      <c r="A604" s="27" t="s">
        <v>350</v>
      </c>
      <c r="C604" s="16"/>
      <c r="E604" s="18" t="s">
        <v>9935</v>
      </c>
      <c r="F604" s="18" t="s">
        <v>4354</v>
      </c>
    </row>
    <row r="605" spans="1:6" ht="20.100000000000001" customHeight="1">
      <c r="A605" s="27" t="s">
        <v>350</v>
      </c>
      <c r="C605" s="16"/>
      <c r="E605" s="18" t="s">
        <v>9936</v>
      </c>
      <c r="F605" s="18" t="s">
        <v>4359</v>
      </c>
    </row>
    <row r="606" spans="1:6" ht="20.100000000000001" customHeight="1">
      <c r="A606" s="27" t="s">
        <v>350</v>
      </c>
      <c r="C606" s="16"/>
      <c r="E606" s="18" t="s">
        <v>9937</v>
      </c>
      <c r="F606" s="18" t="s">
        <v>4364</v>
      </c>
    </row>
    <row r="607" spans="1:6" ht="20.100000000000001" customHeight="1">
      <c r="A607" s="27" t="s">
        <v>350</v>
      </c>
      <c r="C607" s="16"/>
      <c r="E607" s="18" t="s">
        <v>9938</v>
      </c>
      <c r="F607" s="18" t="s">
        <v>4369</v>
      </c>
    </row>
    <row r="608" spans="1:6" ht="20.100000000000001" customHeight="1">
      <c r="A608" s="27" t="s">
        <v>350</v>
      </c>
      <c r="C608" s="16"/>
      <c r="E608" s="18" t="s">
        <v>9939</v>
      </c>
      <c r="F608" s="18" t="s">
        <v>4374</v>
      </c>
    </row>
    <row r="609" spans="1:6" ht="20.100000000000001" customHeight="1">
      <c r="A609" s="27" t="s">
        <v>350</v>
      </c>
      <c r="C609" s="16"/>
      <c r="E609" s="18" t="s">
        <v>9940</v>
      </c>
      <c r="F609" s="18" t="s">
        <v>4378</v>
      </c>
    </row>
    <row r="610" spans="1:6" ht="20.100000000000001" customHeight="1">
      <c r="A610" s="27" t="s">
        <v>350</v>
      </c>
      <c r="C610" s="16"/>
      <c r="E610" s="18" t="s">
        <v>9941</v>
      </c>
      <c r="F610" s="18" t="s">
        <v>4382</v>
      </c>
    </row>
    <row r="611" spans="1:6" ht="20.100000000000001" customHeight="1">
      <c r="A611" s="27" t="s">
        <v>350</v>
      </c>
      <c r="C611" s="16"/>
      <c r="E611" s="18" t="s">
        <v>9942</v>
      </c>
      <c r="F611" s="18" t="s">
        <v>4387</v>
      </c>
    </row>
    <row r="612" spans="1:6" ht="20.100000000000001" customHeight="1">
      <c r="A612" s="27" t="s">
        <v>350</v>
      </c>
      <c r="C612" s="16"/>
      <c r="E612" s="18" t="s">
        <v>9943</v>
      </c>
      <c r="F612" s="18" t="s">
        <v>4392</v>
      </c>
    </row>
    <row r="613" spans="1:6" ht="20.100000000000001" customHeight="1">
      <c r="A613" s="27" t="s">
        <v>350</v>
      </c>
      <c r="C613" s="16"/>
      <c r="E613" s="18" t="s">
        <v>9944</v>
      </c>
      <c r="F613" s="18" t="s">
        <v>4397</v>
      </c>
    </row>
    <row r="614" spans="1:6" ht="20.100000000000001" customHeight="1">
      <c r="A614" s="27" t="s">
        <v>350</v>
      </c>
      <c r="C614" s="16"/>
      <c r="E614" s="18" t="s">
        <v>9945</v>
      </c>
      <c r="F614" s="18" t="s">
        <v>4402</v>
      </c>
    </row>
    <row r="615" spans="1:6" ht="20.100000000000001" customHeight="1">
      <c r="A615" s="27" t="s">
        <v>350</v>
      </c>
      <c r="C615" s="16"/>
      <c r="E615" s="18" t="s">
        <v>9946</v>
      </c>
      <c r="F615" s="18" t="s">
        <v>4407</v>
      </c>
    </row>
    <row r="616" spans="1:6" ht="20.100000000000001" customHeight="1">
      <c r="A616" s="27" t="s">
        <v>350</v>
      </c>
      <c r="C616" s="16"/>
      <c r="E616" s="18" t="s">
        <v>9947</v>
      </c>
      <c r="F616" s="18" t="s">
        <v>4410</v>
      </c>
    </row>
    <row r="617" spans="1:6" ht="20.100000000000001" customHeight="1">
      <c r="A617" s="27" t="s">
        <v>350</v>
      </c>
      <c r="C617" s="16"/>
      <c r="E617" s="18" t="s">
        <v>9948</v>
      </c>
      <c r="F617" s="18" t="s">
        <v>4415</v>
      </c>
    </row>
    <row r="618" spans="1:6" ht="20.100000000000001" customHeight="1">
      <c r="A618" s="27" t="s">
        <v>350</v>
      </c>
      <c r="C618" s="16"/>
      <c r="E618" s="18" t="s">
        <v>9949</v>
      </c>
      <c r="F618" s="18" t="s">
        <v>4509</v>
      </c>
    </row>
    <row r="619" spans="1:6" ht="20.100000000000001" customHeight="1">
      <c r="A619" s="27" t="s">
        <v>350</v>
      </c>
      <c r="C619" s="16"/>
      <c r="E619" s="18" t="s">
        <v>9950</v>
      </c>
      <c r="F619" s="18" t="s">
        <v>4513</v>
      </c>
    </row>
    <row r="620" spans="1:6" ht="20.100000000000001" customHeight="1">
      <c r="A620" s="27" t="s">
        <v>350</v>
      </c>
      <c r="C620" s="16"/>
      <c r="E620" s="18" t="s">
        <v>9951</v>
      </c>
      <c r="F620" s="18" t="s">
        <v>4517</v>
      </c>
    </row>
    <row r="621" spans="1:6" ht="20.100000000000001" customHeight="1">
      <c r="A621" s="27" t="s">
        <v>350</v>
      </c>
      <c r="C621" s="16"/>
      <c r="E621" s="18" t="s">
        <v>9952</v>
      </c>
      <c r="F621" s="18" t="s">
        <v>4521</v>
      </c>
    </row>
    <row r="622" spans="1:6" ht="20.100000000000001" customHeight="1">
      <c r="A622" s="27" t="s">
        <v>350</v>
      </c>
      <c r="C622" s="16"/>
      <c r="E622" s="18" t="s">
        <v>9953</v>
      </c>
      <c r="F622" s="18" t="s">
        <v>4526</v>
      </c>
    </row>
    <row r="623" spans="1:6" ht="20.100000000000001" customHeight="1">
      <c r="A623" s="27" t="s">
        <v>350</v>
      </c>
      <c r="C623" s="16"/>
      <c r="E623" s="18" t="s">
        <v>9954</v>
      </c>
      <c r="F623" s="18" t="s">
        <v>4628</v>
      </c>
    </row>
    <row r="624" spans="1:6" ht="20.100000000000001" customHeight="1">
      <c r="A624" s="27" t="s">
        <v>350</v>
      </c>
      <c r="C624" s="16"/>
      <c r="E624" s="18" t="s">
        <v>9955</v>
      </c>
      <c r="F624" s="18" t="s">
        <v>4720</v>
      </c>
    </row>
    <row r="625" spans="1:6" ht="20.100000000000001" customHeight="1">
      <c r="A625" s="27" t="s">
        <v>350</v>
      </c>
      <c r="C625" s="16"/>
      <c r="E625" s="18" t="s">
        <v>9956</v>
      </c>
      <c r="F625" s="18" t="s">
        <v>4724</v>
      </c>
    </row>
    <row r="626" spans="1:6" ht="20.100000000000001" customHeight="1">
      <c r="A626" s="27" t="s">
        <v>350</v>
      </c>
      <c r="C626" s="16"/>
      <c r="E626" s="18" t="s">
        <v>9957</v>
      </c>
      <c r="F626" s="18" t="s">
        <v>4728</v>
      </c>
    </row>
    <row r="627" spans="1:6" ht="20.100000000000001" customHeight="1">
      <c r="A627" s="27" t="s">
        <v>350</v>
      </c>
      <c r="C627" s="16"/>
      <c r="E627" s="18" t="s">
        <v>9958</v>
      </c>
      <c r="F627" s="18" t="s">
        <v>4732</v>
      </c>
    </row>
    <row r="628" spans="1:6" ht="20.100000000000001" customHeight="1">
      <c r="A628" s="27" t="s">
        <v>350</v>
      </c>
      <c r="C628" s="16"/>
      <c r="E628" s="18" t="s">
        <v>9959</v>
      </c>
      <c r="F628" s="18" t="s">
        <v>4736</v>
      </c>
    </row>
    <row r="629" spans="1:6" ht="20.100000000000001" customHeight="1">
      <c r="A629" s="27" t="s">
        <v>350</v>
      </c>
      <c r="C629" s="16"/>
      <c r="E629" s="18" t="s">
        <v>9960</v>
      </c>
      <c r="F629" s="18" t="s">
        <v>4740</v>
      </c>
    </row>
    <row r="630" spans="1:6" ht="20.100000000000001" customHeight="1">
      <c r="A630" s="27" t="s">
        <v>350</v>
      </c>
      <c r="C630" s="16"/>
      <c r="E630" s="18" t="s">
        <v>9961</v>
      </c>
      <c r="F630" s="18" t="s">
        <v>4745</v>
      </c>
    </row>
    <row r="631" spans="1:6" ht="20.100000000000001" customHeight="1">
      <c r="A631" s="27" t="s">
        <v>350</v>
      </c>
      <c r="C631" s="16"/>
      <c r="E631" s="18" t="s">
        <v>9962</v>
      </c>
      <c r="F631" s="18" t="s">
        <v>4750</v>
      </c>
    </row>
    <row r="632" spans="1:6" ht="20.100000000000001" customHeight="1">
      <c r="A632" s="27" t="s">
        <v>350</v>
      </c>
      <c r="C632" s="16"/>
      <c r="E632" s="18" t="s">
        <v>9963</v>
      </c>
      <c r="F632" s="18" t="s">
        <v>4754</v>
      </c>
    </row>
    <row r="633" spans="1:6" ht="20.100000000000001" customHeight="1">
      <c r="A633" s="27" t="s">
        <v>350</v>
      </c>
      <c r="C633" s="16"/>
      <c r="E633" s="18" t="s">
        <v>9964</v>
      </c>
      <c r="F633" s="18" t="s">
        <v>4758</v>
      </c>
    </row>
    <row r="634" spans="1:6" ht="20.100000000000001" customHeight="1">
      <c r="A634" s="27" t="s">
        <v>350</v>
      </c>
      <c r="C634" s="16"/>
      <c r="E634" s="18" t="s">
        <v>9965</v>
      </c>
      <c r="F634" s="18" t="s">
        <v>4764</v>
      </c>
    </row>
    <row r="635" spans="1:6" ht="20.100000000000001" customHeight="1">
      <c r="A635" s="27" t="s">
        <v>350</v>
      </c>
      <c r="C635" s="16"/>
      <c r="E635" s="18" t="s">
        <v>9966</v>
      </c>
      <c r="F635" s="18" t="s">
        <v>4770</v>
      </c>
    </row>
    <row r="636" spans="1:6" ht="20.100000000000001" customHeight="1">
      <c r="A636" s="27" t="s">
        <v>350</v>
      </c>
      <c r="C636" s="16"/>
      <c r="E636" s="18" t="s">
        <v>9967</v>
      </c>
      <c r="F636" s="18" t="s">
        <v>4775</v>
      </c>
    </row>
    <row r="637" spans="1:6" ht="20.100000000000001" customHeight="1">
      <c r="A637" s="29" t="s">
        <v>350</v>
      </c>
      <c r="C637" s="16"/>
      <c r="E637" s="18" t="s">
        <v>9968</v>
      </c>
      <c r="F637" s="18" t="s">
        <v>4778</v>
      </c>
    </row>
    <row r="638" spans="1:6" ht="20.100000000000001" customHeight="1">
      <c r="A638" s="27" t="s">
        <v>350</v>
      </c>
      <c r="C638" s="16"/>
      <c r="E638" s="18" t="s">
        <v>9969</v>
      </c>
      <c r="F638" s="18" t="s">
        <v>4781</v>
      </c>
    </row>
    <row r="639" spans="1:6" ht="20.100000000000001" customHeight="1">
      <c r="A639" s="27" t="s">
        <v>350</v>
      </c>
      <c r="C639" s="16"/>
      <c r="E639" s="18" t="s">
        <v>9970</v>
      </c>
      <c r="F639" s="18" t="s">
        <v>4785</v>
      </c>
    </row>
    <row r="640" spans="1:6" ht="20.100000000000001" customHeight="1">
      <c r="A640" s="27" t="s">
        <v>350</v>
      </c>
      <c r="C640" s="16"/>
      <c r="E640" s="18" t="s">
        <v>9971</v>
      </c>
      <c r="F640" s="18" t="s">
        <v>4789</v>
      </c>
    </row>
    <row r="641" spans="1:6" ht="20.100000000000001" customHeight="1">
      <c r="A641" s="27" t="s">
        <v>350</v>
      </c>
      <c r="C641" s="16"/>
      <c r="E641" s="18" t="s">
        <v>9972</v>
      </c>
      <c r="F641" s="18" t="s">
        <v>4793</v>
      </c>
    </row>
    <row r="642" spans="1:6" ht="20.100000000000001" customHeight="1">
      <c r="A642" s="27" t="s">
        <v>350</v>
      </c>
      <c r="C642" s="16"/>
      <c r="E642" s="18" t="s">
        <v>9973</v>
      </c>
      <c r="F642" s="18" t="s">
        <v>4796</v>
      </c>
    </row>
    <row r="643" spans="1:6" ht="20.100000000000001" customHeight="1">
      <c r="A643" s="27" t="s">
        <v>350</v>
      </c>
      <c r="C643" s="16"/>
      <c r="E643" s="18" t="s">
        <v>9974</v>
      </c>
      <c r="F643" s="18" t="s">
        <v>4799</v>
      </c>
    </row>
    <row r="644" spans="1:6" ht="20.100000000000001" customHeight="1">
      <c r="A644" s="27" t="s">
        <v>350</v>
      </c>
      <c r="C644" s="16"/>
      <c r="E644" s="18" t="s">
        <v>9975</v>
      </c>
      <c r="F644" s="18" t="s">
        <v>4803</v>
      </c>
    </row>
    <row r="645" spans="1:6" ht="20.100000000000001" customHeight="1">
      <c r="A645" s="27" t="s">
        <v>350</v>
      </c>
      <c r="C645" s="16"/>
      <c r="E645" s="18" t="s">
        <v>9976</v>
      </c>
      <c r="F645" s="18" t="s">
        <v>4808</v>
      </c>
    </row>
    <row r="646" spans="1:6" ht="20.100000000000001" customHeight="1">
      <c r="A646" s="27" t="s">
        <v>350</v>
      </c>
      <c r="C646" s="16"/>
      <c r="E646" s="18" t="s">
        <v>9977</v>
      </c>
      <c r="F646" s="18" t="s">
        <v>4813</v>
      </c>
    </row>
    <row r="647" spans="1:6" ht="20.100000000000001" customHeight="1">
      <c r="A647" s="27" t="s">
        <v>350</v>
      </c>
      <c r="C647" s="16"/>
      <c r="E647" s="18" t="s">
        <v>9978</v>
      </c>
      <c r="F647" s="18" t="s">
        <v>4816</v>
      </c>
    </row>
    <row r="648" spans="1:6" ht="20.100000000000001" customHeight="1">
      <c r="A648" s="27" t="s">
        <v>350</v>
      </c>
      <c r="C648" s="16"/>
      <c r="E648" s="18" t="s">
        <v>9979</v>
      </c>
      <c r="F648" s="18" t="s">
        <v>4820</v>
      </c>
    </row>
    <row r="649" spans="1:6" ht="20.100000000000001" customHeight="1">
      <c r="A649" s="27" t="s">
        <v>350</v>
      </c>
      <c r="C649" s="16"/>
      <c r="E649" s="18" t="s">
        <v>9980</v>
      </c>
      <c r="F649" s="18" t="s">
        <v>4825</v>
      </c>
    </row>
    <row r="650" spans="1:6" ht="20.100000000000001" customHeight="1">
      <c r="A650" s="27" t="s">
        <v>350</v>
      </c>
      <c r="C650" s="16"/>
      <c r="E650" s="18" t="s">
        <v>9981</v>
      </c>
      <c r="F650" s="18" t="s">
        <v>4830</v>
      </c>
    </row>
    <row r="651" spans="1:6" ht="20.100000000000001" customHeight="1">
      <c r="A651" s="27" t="s">
        <v>350</v>
      </c>
      <c r="C651" s="16"/>
      <c r="E651" s="18" t="s">
        <v>9982</v>
      </c>
      <c r="F651" s="18" t="s">
        <v>4833</v>
      </c>
    </row>
    <row r="652" spans="1:6" ht="20.100000000000001" customHeight="1">
      <c r="A652" s="27" t="s">
        <v>350</v>
      </c>
      <c r="C652" s="16"/>
      <c r="E652" s="18" t="s">
        <v>9983</v>
      </c>
      <c r="F652" s="18" t="s">
        <v>4837</v>
      </c>
    </row>
    <row r="653" spans="1:6" ht="20.100000000000001" customHeight="1">
      <c r="A653" s="27" t="s">
        <v>350</v>
      </c>
      <c r="C653" s="16"/>
      <c r="E653" s="18" t="s">
        <v>9984</v>
      </c>
      <c r="F653" s="18" t="s">
        <v>4842</v>
      </c>
    </row>
    <row r="654" spans="1:6" ht="20.100000000000001" customHeight="1">
      <c r="A654" s="27" t="s">
        <v>350</v>
      </c>
      <c r="C654" s="16"/>
      <c r="E654" s="18" t="s">
        <v>9985</v>
      </c>
      <c r="F654" s="18" t="s">
        <v>4846</v>
      </c>
    </row>
    <row r="655" spans="1:6" ht="20.100000000000001" customHeight="1">
      <c r="A655" s="27" t="s">
        <v>350</v>
      </c>
      <c r="C655" s="16"/>
      <c r="E655" s="18" t="s">
        <v>9986</v>
      </c>
      <c r="F655" s="18" t="s">
        <v>4850</v>
      </c>
    </row>
    <row r="656" spans="1:6" ht="20.100000000000001" customHeight="1">
      <c r="A656" s="29" t="s">
        <v>350</v>
      </c>
      <c r="C656" s="16"/>
      <c r="E656" s="18" t="s">
        <v>9987</v>
      </c>
      <c r="F656" s="18" t="s">
        <v>4855</v>
      </c>
    </row>
    <row r="657" spans="1:6" ht="20.100000000000001" customHeight="1">
      <c r="A657" s="27" t="s">
        <v>350</v>
      </c>
      <c r="C657" s="16"/>
      <c r="E657" s="18" t="s">
        <v>9988</v>
      </c>
      <c r="F657" s="18" t="s">
        <v>4859</v>
      </c>
    </row>
    <row r="658" spans="1:6" ht="20.100000000000001" customHeight="1">
      <c r="A658" s="27" t="s">
        <v>350</v>
      </c>
      <c r="C658" s="16"/>
      <c r="E658" s="18" t="s">
        <v>9989</v>
      </c>
      <c r="F658" s="18" t="s">
        <v>4863</v>
      </c>
    </row>
    <row r="659" spans="1:6" ht="20.100000000000001" customHeight="1">
      <c r="A659" s="27" t="s">
        <v>350</v>
      </c>
      <c r="C659" s="16"/>
      <c r="E659" s="18" t="s">
        <v>9990</v>
      </c>
      <c r="F659" s="18" t="s">
        <v>4866</v>
      </c>
    </row>
    <row r="660" spans="1:6" ht="20.100000000000001" customHeight="1">
      <c r="A660" s="27" t="s">
        <v>350</v>
      </c>
      <c r="C660" s="16"/>
      <c r="E660" s="18" t="s">
        <v>9991</v>
      </c>
      <c r="F660" s="18" t="s">
        <v>4870</v>
      </c>
    </row>
    <row r="661" spans="1:6" ht="20.100000000000001" customHeight="1">
      <c r="A661" s="27" t="s">
        <v>350</v>
      </c>
      <c r="C661" s="16"/>
      <c r="E661" s="18" t="s">
        <v>9992</v>
      </c>
      <c r="F661" s="18" t="s">
        <v>4874</v>
      </c>
    </row>
    <row r="662" spans="1:6" ht="20.100000000000001" customHeight="1">
      <c r="A662" s="27" t="s">
        <v>350</v>
      </c>
      <c r="C662" s="16"/>
      <c r="E662" s="18" t="s">
        <v>9993</v>
      </c>
      <c r="F662" s="18" t="s">
        <v>4879</v>
      </c>
    </row>
    <row r="663" spans="1:6" ht="20.100000000000001" customHeight="1">
      <c r="A663" s="27" t="s">
        <v>350</v>
      </c>
      <c r="C663" s="16"/>
      <c r="E663" s="18" t="s">
        <v>9994</v>
      </c>
      <c r="F663" s="18" t="s">
        <v>4885</v>
      </c>
    </row>
    <row r="664" spans="1:6" ht="20.100000000000001" customHeight="1">
      <c r="A664" s="27" t="s">
        <v>350</v>
      </c>
      <c r="C664" s="16"/>
      <c r="E664" s="18" t="s">
        <v>9995</v>
      </c>
      <c r="F664" s="18" t="s">
        <v>4890</v>
      </c>
    </row>
    <row r="665" spans="1:6" ht="20.100000000000001" customHeight="1">
      <c r="A665" s="27" t="s">
        <v>350</v>
      </c>
      <c r="C665" s="16"/>
      <c r="E665" s="18" t="s">
        <v>9996</v>
      </c>
      <c r="F665" s="18" t="s">
        <v>4895</v>
      </c>
    </row>
    <row r="666" spans="1:6" ht="20.100000000000001" customHeight="1">
      <c r="A666" s="27" t="s">
        <v>350</v>
      </c>
      <c r="C666" s="16"/>
      <c r="E666" s="18" t="s">
        <v>9997</v>
      </c>
      <c r="F666" s="18" t="s">
        <v>4900</v>
      </c>
    </row>
    <row r="667" spans="1:6" ht="20.100000000000001" customHeight="1">
      <c r="A667" s="27" t="s">
        <v>350</v>
      </c>
      <c r="C667" s="16"/>
      <c r="E667" s="18" t="s">
        <v>9998</v>
      </c>
      <c r="F667" s="18" t="s">
        <v>4905</v>
      </c>
    </row>
    <row r="668" spans="1:6" ht="20.100000000000001" customHeight="1">
      <c r="A668" s="27" t="s">
        <v>350</v>
      </c>
      <c r="C668" s="16"/>
      <c r="E668" s="18" t="s">
        <v>9999</v>
      </c>
      <c r="F668" s="18" t="s">
        <v>4911</v>
      </c>
    </row>
    <row r="669" spans="1:6" ht="20.100000000000001" customHeight="1">
      <c r="A669" s="27" t="s">
        <v>350</v>
      </c>
      <c r="C669" s="16"/>
      <c r="E669" s="18" t="s">
        <v>10000</v>
      </c>
      <c r="F669" s="18" t="s">
        <v>4917</v>
      </c>
    </row>
    <row r="670" spans="1:6" ht="20.100000000000001" customHeight="1">
      <c r="A670" s="27" t="s">
        <v>350</v>
      </c>
      <c r="C670" s="16"/>
      <c r="E670" s="18" t="s">
        <v>10001</v>
      </c>
      <c r="F670" s="18" t="s">
        <v>4924</v>
      </c>
    </row>
    <row r="671" spans="1:6" ht="20.100000000000001" customHeight="1">
      <c r="A671" s="27" t="s">
        <v>350</v>
      </c>
      <c r="C671" s="16"/>
      <c r="E671" s="18" t="s">
        <v>10002</v>
      </c>
      <c r="F671" s="18" t="s">
        <v>4929</v>
      </c>
    </row>
    <row r="672" spans="1:6" ht="20.100000000000001" customHeight="1">
      <c r="A672" s="27" t="s">
        <v>350</v>
      </c>
      <c r="C672" s="16"/>
      <c r="E672" s="18" t="s">
        <v>10003</v>
      </c>
      <c r="F672" s="18" t="s">
        <v>4936</v>
      </c>
    </row>
    <row r="673" spans="1:6" ht="20.100000000000001" customHeight="1">
      <c r="A673" s="27" t="s">
        <v>350</v>
      </c>
      <c r="C673" s="16"/>
      <c r="E673" s="18" t="s">
        <v>10004</v>
      </c>
      <c r="F673" s="18" t="s">
        <v>4943</v>
      </c>
    </row>
    <row r="674" spans="1:6" ht="20.100000000000001" customHeight="1">
      <c r="A674" s="27" t="s">
        <v>350</v>
      </c>
      <c r="C674" s="16"/>
      <c r="E674" s="18" t="s">
        <v>10005</v>
      </c>
      <c r="F674" s="18" t="s">
        <v>4949</v>
      </c>
    </row>
    <row r="675" spans="1:6" ht="20.100000000000001" customHeight="1">
      <c r="A675" s="27" t="s">
        <v>350</v>
      </c>
      <c r="C675" s="16"/>
      <c r="E675" s="18" t="s">
        <v>10006</v>
      </c>
      <c r="F675" s="18" t="s">
        <v>4955</v>
      </c>
    </row>
    <row r="676" spans="1:6" ht="20.100000000000001" customHeight="1">
      <c r="A676" s="27" t="s">
        <v>350</v>
      </c>
      <c r="C676" s="16"/>
      <c r="E676" s="18" t="s">
        <v>10007</v>
      </c>
      <c r="F676" s="18" t="s">
        <v>4961</v>
      </c>
    </row>
    <row r="677" spans="1:6" ht="20.100000000000001" customHeight="1">
      <c r="A677" s="27" t="s">
        <v>350</v>
      </c>
      <c r="C677" s="16"/>
      <c r="E677" s="18" t="s">
        <v>10008</v>
      </c>
      <c r="F677" s="18" t="s">
        <v>4968</v>
      </c>
    </row>
    <row r="678" spans="1:6" ht="20.100000000000001" customHeight="1">
      <c r="A678" s="27" t="s">
        <v>350</v>
      </c>
      <c r="C678" s="16"/>
      <c r="E678" s="18" t="s">
        <v>10009</v>
      </c>
      <c r="F678" s="18" t="s">
        <v>4975</v>
      </c>
    </row>
    <row r="679" spans="1:6" ht="20.100000000000001" customHeight="1">
      <c r="A679" s="27" t="s">
        <v>350</v>
      </c>
      <c r="C679" s="16"/>
      <c r="E679" s="18" t="s">
        <v>10010</v>
      </c>
      <c r="F679" s="18" t="s">
        <v>4981</v>
      </c>
    </row>
    <row r="680" spans="1:6" ht="20.100000000000001" customHeight="1">
      <c r="A680" s="27" t="s">
        <v>350</v>
      </c>
      <c r="C680" s="16"/>
      <c r="E680" s="18" t="s">
        <v>2836</v>
      </c>
      <c r="F680" s="18" t="s">
        <v>4988</v>
      </c>
    </row>
    <row r="681" spans="1:6" ht="20.100000000000001" customHeight="1">
      <c r="A681" s="27" t="s">
        <v>350</v>
      </c>
      <c r="C681" s="16"/>
      <c r="E681" s="18" t="s">
        <v>10011</v>
      </c>
      <c r="F681" s="18" t="s">
        <v>4995</v>
      </c>
    </row>
    <row r="682" spans="1:6" ht="20.100000000000001" customHeight="1">
      <c r="A682" s="27" t="s">
        <v>350</v>
      </c>
      <c r="C682" s="16"/>
      <c r="E682" s="18" t="s">
        <v>2846</v>
      </c>
      <c r="F682" s="18" t="s">
        <v>5001</v>
      </c>
    </row>
    <row r="683" spans="1:6" ht="20.100000000000001" customHeight="1">
      <c r="A683" s="27" t="s">
        <v>350</v>
      </c>
      <c r="C683" s="16"/>
      <c r="E683" s="18" t="s">
        <v>2850</v>
      </c>
      <c r="F683" s="18" t="s">
        <v>5007</v>
      </c>
    </row>
    <row r="684" spans="1:6" ht="20.100000000000001" customHeight="1">
      <c r="A684" s="27" t="s">
        <v>350</v>
      </c>
      <c r="C684" s="16"/>
      <c r="E684" s="18" t="s">
        <v>2855</v>
      </c>
      <c r="F684" s="18" t="s">
        <v>5013</v>
      </c>
    </row>
    <row r="685" spans="1:6" ht="20.100000000000001" customHeight="1">
      <c r="A685" s="27" t="s">
        <v>350</v>
      </c>
      <c r="C685" s="16"/>
      <c r="E685" s="18" t="s">
        <v>10012</v>
      </c>
      <c r="F685" s="18" t="s">
        <v>5019</v>
      </c>
    </row>
    <row r="686" spans="1:6" ht="20.100000000000001" customHeight="1">
      <c r="A686" s="27" t="s">
        <v>350</v>
      </c>
      <c r="C686" s="16"/>
      <c r="E686" s="18" t="s">
        <v>2864</v>
      </c>
      <c r="F686" s="18" t="s">
        <v>5024</v>
      </c>
    </row>
    <row r="687" spans="1:6" ht="20.100000000000001" customHeight="1">
      <c r="A687" s="27" t="s">
        <v>350</v>
      </c>
      <c r="C687" s="16"/>
      <c r="E687" s="18" t="s">
        <v>2868</v>
      </c>
      <c r="F687" s="18" t="s">
        <v>5030</v>
      </c>
    </row>
    <row r="688" spans="1:6" ht="20.100000000000001" customHeight="1">
      <c r="A688" s="27" t="s">
        <v>350</v>
      </c>
      <c r="C688" s="16"/>
      <c r="E688" s="18" t="s">
        <v>2873</v>
      </c>
      <c r="F688" s="18" t="s">
        <v>5036</v>
      </c>
    </row>
    <row r="689" spans="1:6" ht="20.100000000000001" customHeight="1">
      <c r="A689" s="27" t="s">
        <v>350</v>
      </c>
      <c r="C689" s="16"/>
      <c r="E689" s="18" t="s">
        <v>10013</v>
      </c>
      <c r="F689" s="18" t="s">
        <v>5042</v>
      </c>
    </row>
    <row r="690" spans="1:6" ht="20.100000000000001" customHeight="1">
      <c r="A690" s="27" t="s">
        <v>350</v>
      </c>
      <c r="C690" s="16"/>
      <c r="E690" s="18" t="s">
        <v>10014</v>
      </c>
      <c r="F690" s="18" t="s">
        <v>5048</v>
      </c>
    </row>
    <row r="691" spans="1:6" ht="20.100000000000001" customHeight="1">
      <c r="A691" s="27" t="s">
        <v>350</v>
      </c>
      <c r="C691" s="16"/>
      <c r="E691" s="18" t="s">
        <v>10015</v>
      </c>
      <c r="F691" s="18" t="s">
        <v>5054</v>
      </c>
    </row>
    <row r="692" spans="1:6" ht="20.100000000000001" customHeight="1">
      <c r="A692" s="27" t="s">
        <v>350</v>
      </c>
      <c r="C692" s="16"/>
      <c r="E692" s="18" t="s">
        <v>10016</v>
      </c>
      <c r="F692" s="18" t="s">
        <v>5060</v>
      </c>
    </row>
    <row r="693" spans="1:6" ht="20.100000000000001" customHeight="1">
      <c r="A693" s="27" t="s">
        <v>350</v>
      </c>
      <c r="C693" s="16"/>
      <c r="E693" s="18" t="s">
        <v>10017</v>
      </c>
      <c r="F693" s="18" t="s">
        <v>5067</v>
      </c>
    </row>
    <row r="694" spans="1:6" ht="20.100000000000001" customHeight="1">
      <c r="A694" s="27" t="s">
        <v>350</v>
      </c>
      <c r="C694" s="16"/>
      <c r="E694" s="18" t="s">
        <v>10018</v>
      </c>
      <c r="F694" s="18" t="s">
        <v>5073</v>
      </c>
    </row>
    <row r="695" spans="1:6" ht="20.100000000000001" customHeight="1">
      <c r="A695" s="27" t="s">
        <v>350</v>
      </c>
      <c r="C695" s="16"/>
      <c r="E695" s="18" t="s">
        <v>10019</v>
      </c>
      <c r="F695" s="18" t="s">
        <v>5079</v>
      </c>
    </row>
    <row r="696" spans="1:6" ht="20.100000000000001" customHeight="1">
      <c r="A696" s="27" t="s">
        <v>350</v>
      </c>
      <c r="C696" s="16"/>
      <c r="E696" s="18" t="s">
        <v>10020</v>
      </c>
      <c r="F696" s="18" t="s">
        <v>5085</v>
      </c>
    </row>
    <row r="697" spans="1:6" ht="20.100000000000001" customHeight="1">
      <c r="A697" s="27" t="s">
        <v>350</v>
      </c>
      <c r="C697" s="16"/>
      <c r="E697" s="18" t="s">
        <v>10021</v>
      </c>
      <c r="F697" s="18" t="s">
        <v>5091</v>
      </c>
    </row>
    <row r="698" spans="1:6" ht="20.100000000000001" customHeight="1">
      <c r="A698" s="27" t="s">
        <v>350</v>
      </c>
      <c r="C698" s="16"/>
      <c r="E698" s="18" t="s">
        <v>10022</v>
      </c>
      <c r="F698" s="18" t="s">
        <v>5098</v>
      </c>
    </row>
    <row r="699" spans="1:6" ht="20.100000000000001" customHeight="1">
      <c r="A699" s="27" t="s">
        <v>350</v>
      </c>
      <c r="C699" s="16"/>
      <c r="E699" s="18" t="s">
        <v>10023</v>
      </c>
      <c r="F699" s="18" t="s">
        <v>5104</v>
      </c>
    </row>
    <row r="700" spans="1:6" ht="20.100000000000001" customHeight="1">
      <c r="A700" s="27" t="s">
        <v>350</v>
      </c>
      <c r="C700" s="16"/>
      <c r="E700" s="18" t="s">
        <v>10024</v>
      </c>
      <c r="F700" s="18" t="s">
        <v>5110</v>
      </c>
    </row>
    <row r="701" spans="1:6" ht="20.100000000000001" customHeight="1">
      <c r="A701" s="27" t="s">
        <v>350</v>
      </c>
      <c r="C701" s="16"/>
      <c r="E701" s="18" t="s">
        <v>10025</v>
      </c>
      <c r="F701" s="18" t="s">
        <v>5116</v>
      </c>
    </row>
    <row r="702" spans="1:6" ht="20.100000000000001" customHeight="1">
      <c r="A702" s="27" t="s">
        <v>350</v>
      </c>
      <c r="C702" s="16"/>
      <c r="E702" s="18" t="s">
        <v>10026</v>
      </c>
      <c r="F702" s="18" t="s">
        <v>5122</v>
      </c>
    </row>
    <row r="703" spans="1:6" ht="20.100000000000001" customHeight="1">
      <c r="A703" s="27" t="s">
        <v>350</v>
      </c>
      <c r="C703" s="16"/>
      <c r="E703" s="18" t="s">
        <v>3717</v>
      </c>
      <c r="F703" s="18" t="s">
        <v>5129</v>
      </c>
    </row>
    <row r="704" spans="1:6" ht="20.100000000000001" customHeight="1">
      <c r="A704" s="27" t="s">
        <v>350</v>
      </c>
      <c r="C704" s="16"/>
      <c r="E704" s="18" t="s">
        <v>10027</v>
      </c>
      <c r="F704" s="18" t="s">
        <v>5136</v>
      </c>
    </row>
    <row r="705" spans="1:6" ht="20.100000000000001" customHeight="1">
      <c r="A705" s="27" t="s">
        <v>350</v>
      </c>
      <c r="C705" s="16"/>
      <c r="E705" s="18" t="s">
        <v>10028</v>
      </c>
      <c r="F705" s="18" t="s">
        <v>5142</v>
      </c>
    </row>
    <row r="706" spans="1:6" ht="20.100000000000001" customHeight="1">
      <c r="A706" s="27" t="s">
        <v>350</v>
      </c>
      <c r="C706" s="16"/>
      <c r="E706" s="18" t="s">
        <v>10029</v>
      </c>
      <c r="F706" s="18" t="s">
        <v>5148</v>
      </c>
    </row>
    <row r="707" spans="1:6" ht="20.100000000000001" customHeight="1">
      <c r="A707" s="27" t="s">
        <v>350</v>
      </c>
      <c r="C707" s="16"/>
      <c r="E707" s="18" t="s">
        <v>10030</v>
      </c>
      <c r="F707" s="18" t="s">
        <v>5154</v>
      </c>
    </row>
    <row r="708" spans="1:6" ht="20.100000000000001" customHeight="1">
      <c r="A708" s="27" t="s">
        <v>350</v>
      </c>
      <c r="C708" s="16"/>
      <c r="E708" s="18" t="s">
        <v>10031</v>
      </c>
      <c r="F708" s="18" t="s">
        <v>5160</v>
      </c>
    </row>
    <row r="709" spans="1:6" ht="20.100000000000001" customHeight="1">
      <c r="A709" s="27" t="s">
        <v>350</v>
      </c>
      <c r="C709" s="16"/>
      <c r="E709" s="18" t="s">
        <v>10032</v>
      </c>
      <c r="F709" s="18" t="s">
        <v>5166</v>
      </c>
    </row>
    <row r="710" spans="1:6" ht="20.100000000000001" customHeight="1">
      <c r="A710" s="27" t="s">
        <v>350</v>
      </c>
      <c r="C710" s="16"/>
      <c r="E710" s="18" t="s">
        <v>10033</v>
      </c>
      <c r="F710" s="18" t="s">
        <v>5172</v>
      </c>
    </row>
    <row r="711" spans="1:6" ht="20.100000000000001" customHeight="1">
      <c r="A711" s="27" t="s">
        <v>350</v>
      </c>
      <c r="C711" s="16"/>
      <c r="E711" s="18" t="s">
        <v>10034</v>
      </c>
      <c r="F711" s="18" t="s">
        <v>5178</v>
      </c>
    </row>
    <row r="712" spans="1:6" ht="20.100000000000001" customHeight="1">
      <c r="A712" s="27" t="s">
        <v>350</v>
      </c>
      <c r="C712" s="16"/>
      <c r="E712" s="18" t="s">
        <v>10035</v>
      </c>
      <c r="F712" s="18" t="s">
        <v>5184</v>
      </c>
    </row>
    <row r="713" spans="1:6" ht="20.100000000000001" customHeight="1">
      <c r="A713" s="27" t="s">
        <v>350</v>
      </c>
      <c r="C713" s="16"/>
      <c r="E713" s="18" t="s">
        <v>10036</v>
      </c>
      <c r="F713" s="18" t="s">
        <v>5189</v>
      </c>
    </row>
    <row r="714" spans="1:6" ht="20.100000000000001" customHeight="1">
      <c r="A714" s="27" t="s">
        <v>350</v>
      </c>
      <c r="C714" s="16"/>
      <c r="E714" s="18" t="s">
        <v>10037</v>
      </c>
      <c r="F714" s="18" t="s">
        <v>5195</v>
      </c>
    </row>
    <row r="715" spans="1:6" ht="20.100000000000001" customHeight="1">
      <c r="A715" s="27" t="s">
        <v>350</v>
      </c>
      <c r="C715" s="16"/>
      <c r="E715" s="18" t="s">
        <v>10038</v>
      </c>
      <c r="F715" s="18" t="s">
        <v>5201</v>
      </c>
    </row>
    <row r="716" spans="1:6" ht="20.100000000000001" customHeight="1">
      <c r="A716" s="27" t="s">
        <v>350</v>
      </c>
      <c r="C716" s="16"/>
      <c r="E716" s="18" t="s">
        <v>10039</v>
      </c>
      <c r="F716" s="18" t="s">
        <v>5207</v>
      </c>
    </row>
    <row r="717" spans="1:6" ht="20.100000000000001" customHeight="1">
      <c r="A717" s="27" t="s">
        <v>350</v>
      </c>
      <c r="C717" s="16"/>
      <c r="E717" s="18" t="s">
        <v>10040</v>
      </c>
      <c r="F717" s="18" t="s">
        <v>5212</v>
      </c>
    </row>
    <row r="718" spans="1:6" ht="20.100000000000001" customHeight="1">
      <c r="A718" s="27" t="s">
        <v>350</v>
      </c>
      <c r="C718" s="16"/>
      <c r="E718" s="18" t="s">
        <v>10041</v>
      </c>
      <c r="F718" s="18" t="s">
        <v>5218</v>
      </c>
    </row>
    <row r="719" spans="1:6" ht="20.100000000000001" customHeight="1">
      <c r="A719" s="27" t="s">
        <v>350</v>
      </c>
      <c r="C719" s="16"/>
      <c r="E719" s="18" t="s">
        <v>10042</v>
      </c>
      <c r="F719" s="18" t="s">
        <v>5224</v>
      </c>
    </row>
    <row r="720" spans="1:6" ht="20.100000000000001" customHeight="1">
      <c r="A720" s="29" t="s">
        <v>350</v>
      </c>
      <c r="C720" s="16"/>
      <c r="E720" s="18" t="s">
        <v>10043</v>
      </c>
      <c r="F720" s="18" t="s">
        <v>5231</v>
      </c>
    </row>
    <row r="721" spans="1:6" ht="20.100000000000001" customHeight="1">
      <c r="A721" s="27" t="s">
        <v>350</v>
      </c>
      <c r="C721" s="16"/>
      <c r="E721" s="18" t="s">
        <v>10044</v>
      </c>
      <c r="F721" s="18" t="s">
        <v>5236</v>
      </c>
    </row>
    <row r="722" spans="1:6" ht="20.100000000000001" customHeight="1">
      <c r="A722" s="27" t="s">
        <v>350</v>
      </c>
      <c r="C722" s="16"/>
      <c r="E722" s="18" t="s">
        <v>10045</v>
      </c>
      <c r="F722" s="18" t="s">
        <v>5242</v>
      </c>
    </row>
    <row r="723" spans="1:6" ht="20.100000000000001" customHeight="1">
      <c r="A723" s="27" t="s">
        <v>350</v>
      </c>
      <c r="C723" s="16"/>
      <c r="E723" s="18" t="s">
        <v>10046</v>
      </c>
      <c r="F723" s="18" t="s">
        <v>5248</v>
      </c>
    </row>
    <row r="724" spans="1:6" ht="20.100000000000001" customHeight="1">
      <c r="A724" s="27" t="s">
        <v>350</v>
      </c>
      <c r="C724" s="16"/>
      <c r="E724" s="18" t="s">
        <v>10047</v>
      </c>
      <c r="F724" s="18" t="s">
        <v>5253</v>
      </c>
    </row>
    <row r="725" spans="1:6" ht="20.100000000000001" customHeight="1">
      <c r="A725" s="27" t="s">
        <v>350</v>
      </c>
      <c r="C725" s="16"/>
      <c r="E725" s="18" t="s">
        <v>10048</v>
      </c>
      <c r="F725" s="18" t="s">
        <v>5258</v>
      </c>
    </row>
    <row r="726" spans="1:6" ht="20.100000000000001" customHeight="1">
      <c r="A726" s="27" t="s">
        <v>350</v>
      </c>
      <c r="C726" s="16"/>
      <c r="E726" s="18" t="s">
        <v>10049</v>
      </c>
      <c r="F726" s="18" t="s">
        <v>5263</v>
      </c>
    </row>
    <row r="727" spans="1:6" ht="20.100000000000001" customHeight="1">
      <c r="A727" s="27" t="s">
        <v>350</v>
      </c>
      <c r="C727" s="16"/>
      <c r="E727" s="18" t="s">
        <v>10050</v>
      </c>
      <c r="F727" s="18" t="s">
        <v>5267</v>
      </c>
    </row>
    <row r="728" spans="1:6" ht="20.100000000000001" customHeight="1">
      <c r="A728" s="27" t="s">
        <v>350</v>
      </c>
      <c r="C728" s="16"/>
      <c r="E728" s="18" t="s">
        <v>10051</v>
      </c>
      <c r="F728" s="18" t="s">
        <v>5270</v>
      </c>
    </row>
    <row r="729" spans="1:6" ht="20.100000000000001" customHeight="1">
      <c r="A729" s="27" t="s">
        <v>350</v>
      </c>
      <c r="C729" s="16"/>
      <c r="E729" s="18" t="s">
        <v>10052</v>
      </c>
      <c r="F729" s="18" t="s">
        <v>5274</v>
      </c>
    </row>
    <row r="730" spans="1:6" ht="20.100000000000001" customHeight="1">
      <c r="A730" s="27" t="s">
        <v>350</v>
      </c>
      <c r="C730" s="16"/>
      <c r="E730" s="18" t="s">
        <v>10053</v>
      </c>
      <c r="F730" s="18" t="s">
        <v>5278</v>
      </c>
    </row>
    <row r="731" spans="1:6" ht="20.100000000000001" customHeight="1">
      <c r="A731" s="27" t="s">
        <v>350</v>
      </c>
      <c r="C731" s="16"/>
      <c r="E731" s="18" t="s">
        <v>10054</v>
      </c>
      <c r="F731" s="18" t="s">
        <v>5283</v>
      </c>
    </row>
    <row r="732" spans="1:6" ht="20.100000000000001" customHeight="1">
      <c r="A732" s="27" t="s">
        <v>350</v>
      </c>
      <c r="C732" s="16"/>
      <c r="E732" s="18" t="s">
        <v>10055</v>
      </c>
      <c r="F732" s="18" t="s">
        <v>5290</v>
      </c>
    </row>
    <row r="733" spans="1:6" ht="20.100000000000001" customHeight="1">
      <c r="A733" s="27" t="s">
        <v>350</v>
      </c>
      <c r="C733" s="16"/>
      <c r="E733" s="18" t="s">
        <v>10056</v>
      </c>
      <c r="F733" s="18" t="s">
        <v>5298</v>
      </c>
    </row>
    <row r="734" spans="1:6" ht="20.100000000000001" customHeight="1">
      <c r="A734" s="27" t="s">
        <v>350</v>
      </c>
      <c r="C734" s="16"/>
      <c r="E734" s="18" t="s">
        <v>10057</v>
      </c>
      <c r="F734" s="18" t="s">
        <v>5305</v>
      </c>
    </row>
    <row r="735" spans="1:6" ht="20.100000000000001" customHeight="1">
      <c r="A735" s="27" t="s">
        <v>350</v>
      </c>
      <c r="C735" s="16"/>
      <c r="E735" s="18" t="s">
        <v>10058</v>
      </c>
      <c r="F735" s="18" t="s">
        <v>5319</v>
      </c>
    </row>
    <row r="736" spans="1:6" ht="20.100000000000001" customHeight="1">
      <c r="A736" s="27" t="s">
        <v>350</v>
      </c>
      <c r="C736" s="16"/>
      <c r="E736" s="18" t="s">
        <v>10059</v>
      </c>
      <c r="F736" s="18" t="s">
        <v>5327</v>
      </c>
    </row>
    <row r="737" spans="1:6" ht="20.100000000000001" customHeight="1">
      <c r="A737" s="27" t="s">
        <v>350</v>
      </c>
      <c r="C737" s="16"/>
      <c r="E737" s="18" t="s">
        <v>10060</v>
      </c>
      <c r="F737" s="18" t="s">
        <v>5335</v>
      </c>
    </row>
    <row r="738" spans="1:6" ht="20.100000000000001" customHeight="1">
      <c r="A738" s="27" t="s">
        <v>350</v>
      </c>
      <c r="C738" s="16"/>
      <c r="E738" s="18" t="s">
        <v>10061</v>
      </c>
      <c r="F738" s="18" t="s">
        <v>5343</v>
      </c>
    </row>
    <row r="739" spans="1:6" ht="20.100000000000001" customHeight="1">
      <c r="A739" s="27" t="s">
        <v>350</v>
      </c>
      <c r="C739" s="16"/>
      <c r="E739" s="18" t="s">
        <v>10062</v>
      </c>
      <c r="F739" s="18" t="s">
        <v>5351</v>
      </c>
    </row>
    <row r="740" spans="1:6" ht="20.100000000000001" customHeight="1">
      <c r="A740" s="27" t="s">
        <v>350</v>
      </c>
      <c r="C740" s="16"/>
      <c r="E740" s="18" t="s">
        <v>10063</v>
      </c>
      <c r="F740" s="18" t="s">
        <v>5359</v>
      </c>
    </row>
    <row r="741" spans="1:6" ht="20.100000000000001" customHeight="1">
      <c r="A741" s="27" t="s">
        <v>350</v>
      </c>
      <c r="C741" s="16"/>
      <c r="E741" s="18" t="s">
        <v>10064</v>
      </c>
      <c r="F741" s="18" t="s">
        <v>5367</v>
      </c>
    </row>
    <row r="742" spans="1:6" ht="20.100000000000001" customHeight="1">
      <c r="A742" s="27" t="s">
        <v>350</v>
      </c>
      <c r="C742" s="16"/>
      <c r="E742" s="18" t="s">
        <v>10065</v>
      </c>
      <c r="F742" s="18" t="s">
        <v>5375</v>
      </c>
    </row>
    <row r="743" spans="1:6" ht="20.100000000000001" customHeight="1">
      <c r="A743" s="27" t="s">
        <v>350</v>
      </c>
      <c r="C743" s="16"/>
      <c r="E743" s="18" t="s">
        <v>10066</v>
      </c>
      <c r="F743" s="18" t="s">
        <v>5383</v>
      </c>
    </row>
    <row r="744" spans="1:6" ht="20.100000000000001" customHeight="1">
      <c r="A744" s="27" t="s">
        <v>350</v>
      </c>
      <c r="C744" s="16"/>
      <c r="E744" s="18" t="s">
        <v>10067</v>
      </c>
      <c r="F744" s="18" t="s">
        <v>5391</v>
      </c>
    </row>
    <row r="745" spans="1:6" ht="20.100000000000001" customHeight="1">
      <c r="A745" s="27" t="s">
        <v>350</v>
      </c>
      <c r="C745" s="16"/>
      <c r="E745" s="18" t="s">
        <v>10068</v>
      </c>
      <c r="F745" s="18" t="s">
        <v>5399</v>
      </c>
    </row>
    <row r="746" spans="1:6" ht="20.100000000000001" customHeight="1">
      <c r="A746" s="27" t="s">
        <v>350</v>
      </c>
      <c r="C746" s="16"/>
      <c r="E746" s="18" t="s">
        <v>10069</v>
      </c>
      <c r="F746" s="18" t="s">
        <v>5407</v>
      </c>
    </row>
    <row r="747" spans="1:6" ht="20.100000000000001" customHeight="1">
      <c r="A747" s="27" t="s">
        <v>350</v>
      </c>
      <c r="C747" s="16"/>
      <c r="E747" s="18" t="s">
        <v>10070</v>
      </c>
      <c r="F747" s="18" t="s">
        <v>5415</v>
      </c>
    </row>
    <row r="748" spans="1:6" ht="20.100000000000001" customHeight="1">
      <c r="A748" s="27" t="s">
        <v>350</v>
      </c>
      <c r="C748" s="16"/>
      <c r="E748" s="18" t="s">
        <v>10071</v>
      </c>
      <c r="F748" s="18" t="s">
        <v>5423</v>
      </c>
    </row>
    <row r="749" spans="1:6" ht="20.100000000000001" customHeight="1">
      <c r="A749" s="27" t="s">
        <v>350</v>
      </c>
      <c r="C749" s="16"/>
      <c r="E749" s="18" t="s">
        <v>10072</v>
      </c>
      <c r="F749" s="18" t="s">
        <v>5431</v>
      </c>
    </row>
    <row r="750" spans="1:6" ht="20.100000000000001" customHeight="1">
      <c r="A750" s="27" t="s">
        <v>350</v>
      </c>
      <c r="C750" s="16"/>
      <c r="E750" s="18" t="s">
        <v>10073</v>
      </c>
      <c r="F750" s="18" t="s">
        <v>5439</v>
      </c>
    </row>
    <row r="751" spans="1:6" ht="20.100000000000001" customHeight="1">
      <c r="A751" s="27" t="s">
        <v>350</v>
      </c>
      <c r="C751" s="16"/>
      <c r="E751" s="18" t="s">
        <v>10074</v>
      </c>
      <c r="F751" s="18" t="s">
        <v>5447</v>
      </c>
    </row>
    <row r="752" spans="1:6" ht="20.100000000000001" customHeight="1">
      <c r="A752" s="27" t="s">
        <v>350</v>
      </c>
      <c r="C752" s="16"/>
      <c r="E752" s="18" t="s">
        <v>10075</v>
      </c>
      <c r="F752" s="18" t="s">
        <v>5455</v>
      </c>
    </row>
    <row r="753" spans="1:6" ht="20.100000000000001" customHeight="1">
      <c r="A753" s="27" t="s">
        <v>350</v>
      </c>
      <c r="C753" s="16"/>
      <c r="E753" s="18" t="s">
        <v>10076</v>
      </c>
      <c r="F753" s="18" t="s">
        <v>5463</v>
      </c>
    </row>
    <row r="754" spans="1:6" ht="20.100000000000001" customHeight="1">
      <c r="A754" s="27" t="s">
        <v>350</v>
      </c>
      <c r="C754" s="16"/>
      <c r="E754" s="18" t="s">
        <v>10077</v>
      </c>
      <c r="F754" s="18" t="s">
        <v>5470</v>
      </c>
    </row>
    <row r="755" spans="1:6" ht="20.100000000000001" customHeight="1">
      <c r="A755" s="27" t="s">
        <v>350</v>
      </c>
      <c r="C755" s="16"/>
      <c r="E755" s="18" t="s">
        <v>10078</v>
      </c>
      <c r="F755" s="18" t="s">
        <v>5478</v>
      </c>
    </row>
    <row r="756" spans="1:6" ht="20.100000000000001" customHeight="1">
      <c r="A756" s="29" t="s">
        <v>350</v>
      </c>
      <c r="C756" s="16"/>
      <c r="E756" s="18" t="s">
        <v>10079</v>
      </c>
      <c r="F756" s="18" t="s">
        <v>5486</v>
      </c>
    </row>
    <row r="757" spans="1:6" ht="20.100000000000001" customHeight="1">
      <c r="A757" s="27" t="s">
        <v>350</v>
      </c>
      <c r="C757" s="16"/>
      <c r="E757" s="18" t="s">
        <v>10080</v>
      </c>
      <c r="F757" s="18" t="s">
        <v>5493</v>
      </c>
    </row>
    <row r="758" spans="1:6" ht="20.100000000000001" customHeight="1">
      <c r="A758" s="27" t="s">
        <v>350</v>
      </c>
      <c r="C758" s="16"/>
      <c r="E758" s="18" t="s">
        <v>10081</v>
      </c>
      <c r="F758" s="18" t="s">
        <v>5501</v>
      </c>
    </row>
    <row r="759" spans="1:6" ht="20.100000000000001" customHeight="1">
      <c r="A759" s="27" t="s">
        <v>350</v>
      </c>
      <c r="C759" s="16"/>
      <c r="E759" s="18" t="s">
        <v>10082</v>
      </c>
      <c r="F759" s="18" t="s">
        <v>5508</v>
      </c>
    </row>
    <row r="760" spans="1:6" ht="20.100000000000001" customHeight="1">
      <c r="A760" s="29" t="s">
        <v>350</v>
      </c>
      <c r="C760" s="16"/>
      <c r="E760" s="18" t="s">
        <v>10083</v>
      </c>
      <c r="F760" s="18" t="s">
        <v>5516</v>
      </c>
    </row>
    <row r="761" spans="1:6" ht="20.100000000000001" customHeight="1">
      <c r="A761" s="27" t="s">
        <v>350</v>
      </c>
      <c r="C761" s="16"/>
      <c r="E761" s="18" t="s">
        <v>10084</v>
      </c>
      <c r="F761" s="18" t="s">
        <v>5524</v>
      </c>
    </row>
    <row r="762" spans="1:6" ht="20.100000000000001" customHeight="1">
      <c r="A762" s="27" t="s">
        <v>350</v>
      </c>
      <c r="C762" s="16"/>
      <c r="E762" s="18" t="s">
        <v>10085</v>
      </c>
      <c r="F762" s="18" t="s">
        <v>5532</v>
      </c>
    </row>
    <row r="763" spans="1:6" ht="20.100000000000001" customHeight="1">
      <c r="A763" s="27" t="s">
        <v>350</v>
      </c>
      <c r="C763" s="16"/>
      <c r="E763" s="18" t="s">
        <v>10086</v>
      </c>
      <c r="F763" s="18" t="s">
        <v>5540</v>
      </c>
    </row>
    <row r="764" spans="1:6" ht="20.100000000000001" customHeight="1">
      <c r="A764" s="27" t="s">
        <v>350</v>
      </c>
      <c r="C764" s="16"/>
      <c r="E764" s="18" t="s">
        <v>10087</v>
      </c>
      <c r="F764" s="18" t="s">
        <v>5548</v>
      </c>
    </row>
    <row r="765" spans="1:6" ht="20.100000000000001" customHeight="1">
      <c r="A765" s="27" t="s">
        <v>350</v>
      </c>
      <c r="C765" s="16"/>
      <c r="E765" s="18" t="s">
        <v>10088</v>
      </c>
      <c r="F765" s="18" t="s">
        <v>5556</v>
      </c>
    </row>
    <row r="766" spans="1:6" ht="20.100000000000001" customHeight="1">
      <c r="A766" s="27" t="s">
        <v>350</v>
      </c>
      <c r="C766" s="16"/>
      <c r="E766" s="18" t="s">
        <v>10089</v>
      </c>
      <c r="F766" s="18" t="s">
        <v>5564</v>
      </c>
    </row>
    <row r="767" spans="1:6" ht="20.100000000000001" customHeight="1">
      <c r="A767" s="27" t="s">
        <v>350</v>
      </c>
      <c r="C767" s="16"/>
      <c r="E767" s="18" t="s">
        <v>10090</v>
      </c>
      <c r="F767" s="18" t="s">
        <v>5572</v>
      </c>
    </row>
    <row r="768" spans="1:6" ht="20.100000000000001" customHeight="1">
      <c r="A768" s="27" t="s">
        <v>350</v>
      </c>
      <c r="C768" s="16"/>
      <c r="E768" s="18" t="s">
        <v>10091</v>
      </c>
      <c r="F768" s="18" t="s">
        <v>5580</v>
      </c>
    </row>
    <row r="769" spans="1:6" ht="20.100000000000001" customHeight="1">
      <c r="A769" s="27" t="s">
        <v>350</v>
      </c>
      <c r="C769" s="16"/>
      <c r="E769" s="18" t="s">
        <v>10092</v>
      </c>
      <c r="F769" s="18" t="s">
        <v>5587</v>
      </c>
    </row>
    <row r="770" spans="1:6" ht="20.100000000000001" customHeight="1">
      <c r="A770" s="27" t="s">
        <v>350</v>
      </c>
      <c r="C770" s="16"/>
      <c r="E770" s="18" t="s">
        <v>10093</v>
      </c>
      <c r="F770" s="18" t="s">
        <v>5594</v>
      </c>
    </row>
    <row r="771" spans="1:6" ht="20.100000000000001" customHeight="1">
      <c r="A771" s="27" t="s">
        <v>350</v>
      </c>
      <c r="C771" s="16"/>
      <c r="E771" s="18" t="s">
        <v>10094</v>
      </c>
      <c r="F771" s="18" t="s">
        <v>5602</v>
      </c>
    </row>
    <row r="772" spans="1:6" ht="20.100000000000001" customHeight="1">
      <c r="A772" s="27" t="s">
        <v>350</v>
      </c>
      <c r="C772" s="16"/>
      <c r="E772" s="18" t="s">
        <v>10095</v>
      </c>
      <c r="F772" s="18" t="s">
        <v>5610</v>
      </c>
    </row>
    <row r="773" spans="1:6" ht="20.100000000000001" customHeight="1">
      <c r="A773" s="27" t="s">
        <v>350</v>
      </c>
      <c r="C773" s="16"/>
      <c r="E773" s="18" t="s">
        <v>10096</v>
      </c>
      <c r="F773" s="18" t="s">
        <v>5618</v>
      </c>
    </row>
    <row r="774" spans="1:6" ht="20.100000000000001" customHeight="1">
      <c r="A774" s="27" t="s">
        <v>350</v>
      </c>
      <c r="C774" s="16"/>
      <c r="E774" s="18" t="s">
        <v>10097</v>
      </c>
      <c r="F774" s="18" t="s">
        <v>5626</v>
      </c>
    </row>
    <row r="775" spans="1:6" ht="20.100000000000001" customHeight="1">
      <c r="A775" s="27" t="s">
        <v>350</v>
      </c>
      <c r="C775" s="16"/>
      <c r="E775" s="18" t="s">
        <v>10098</v>
      </c>
      <c r="F775" s="18" t="s">
        <v>5634</v>
      </c>
    </row>
    <row r="776" spans="1:6" ht="20.100000000000001" customHeight="1">
      <c r="A776" s="27" t="s">
        <v>350</v>
      </c>
      <c r="C776" s="16"/>
      <c r="E776" s="18" t="s">
        <v>10099</v>
      </c>
      <c r="F776" s="18" t="s">
        <v>5642</v>
      </c>
    </row>
    <row r="777" spans="1:6" ht="20.100000000000001" customHeight="1">
      <c r="A777" s="27" t="s">
        <v>350</v>
      </c>
      <c r="C777" s="16"/>
      <c r="E777" s="18" t="s">
        <v>10100</v>
      </c>
      <c r="F777" s="18" t="s">
        <v>5650</v>
      </c>
    </row>
    <row r="778" spans="1:6" ht="20.100000000000001" customHeight="1">
      <c r="A778" s="27" t="s">
        <v>350</v>
      </c>
      <c r="C778" s="16"/>
      <c r="E778" s="18" t="s">
        <v>10101</v>
      </c>
      <c r="F778" s="18" t="s">
        <v>5658</v>
      </c>
    </row>
    <row r="779" spans="1:6" ht="20.100000000000001" customHeight="1">
      <c r="A779" s="27" t="s">
        <v>350</v>
      </c>
      <c r="C779" s="16"/>
      <c r="E779" s="18" t="s">
        <v>10102</v>
      </c>
      <c r="F779" s="18" t="s">
        <v>5666</v>
      </c>
    </row>
    <row r="780" spans="1:6" ht="20.100000000000001" customHeight="1">
      <c r="A780" s="27" t="s">
        <v>350</v>
      </c>
      <c r="C780" s="16"/>
      <c r="E780" s="18" t="s">
        <v>10103</v>
      </c>
      <c r="F780" s="18" t="s">
        <v>5674</v>
      </c>
    </row>
    <row r="781" spans="1:6" ht="20.100000000000001" customHeight="1">
      <c r="A781" s="27" t="s">
        <v>350</v>
      </c>
      <c r="C781" s="16"/>
      <c r="E781" s="18" t="s">
        <v>10104</v>
      </c>
      <c r="F781" s="18" t="s">
        <v>5682</v>
      </c>
    </row>
    <row r="782" spans="1:6" ht="20.100000000000001" customHeight="1">
      <c r="A782" s="27" t="s">
        <v>350</v>
      </c>
      <c r="C782" s="16"/>
      <c r="E782" s="18" t="s">
        <v>10105</v>
      </c>
      <c r="F782" s="18" t="s">
        <v>5690</v>
      </c>
    </row>
    <row r="783" spans="1:6" ht="20.100000000000001" customHeight="1">
      <c r="A783" s="27" t="s">
        <v>350</v>
      </c>
      <c r="C783" s="16"/>
      <c r="E783" s="18" t="s">
        <v>10106</v>
      </c>
      <c r="F783" s="18" t="s">
        <v>5698</v>
      </c>
    </row>
    <row r="784" spans="1:6" ht="20.100000000000001" customHeight="1">
      <c r="A784" s="27" t="s">
        <v>350</v>
      </c>
      <c r="C784" s="16"/>
      <c r="E784" s="18" t="s">
        <v>10107</v>
      </c>
      <c r="F784" s="18" t="s">
        <v>5706</v>
      </c>
    </row>
    <row r="785" spans="1:6" ht="20.100000000000001" customHeight="1">
      <c r="A785" s="27" t="s">
        <v>350</v>
      </c>
      <c r="C785" s="16"/>
      <c r="E785" s="18" t="s">
        <v>10108</v>
      </c>
      <c r="F785" s="18" t="s">
        <v>5713</v>
      </c>
    </row>
    <row r="786" spans="1:6" ht="20.100000000000001" customHeight="1">
      <c r="A786" s="27" t="s">
        <v>350</v>
      </c>
      <c r="C786" s="16"/>
      <c r="E786" s="18" t="s">
        <v>10109</v>
      </c>
      <c r="F786" s="18" t="s">
        <v>5721</v>
      </c>
    </row>
    <row r="787" spans="1:6" ht="20.100000000000001" customHeight="1">
      <c r="A787" s="27" t="s">
        <v>350</v>
      </c>
      <c r="C787" s="16"/>
      <c r="E787" s="18" t="s">
        <v>10110</v>
      </c>
      <c r="F787" s="18" t="s">
        <v>5729</v>
      </c>
    </row>
    <row r="788" spans="1:6" ht="20.100000000000001" customHeight="1">
      <c r="A788" s="27" t="s">
        <v>350</v>
      </c>
      <c r="C788" s="16"/>
      <c r="E788" s="18" t="s">
        <v>10111</v>
      </c>
      <c r="F788" s="18" t="s">
        <v>5744</v>
      </c>
    </row>
    <row r="789" spans="1:6" ht="20.100000000000001" customHeight="1">
      <c r="A789" s="27" t="s">
        <v>350</v>
      </c>
      <c r="C789" s="16"/>
      <c r="E789" s="18" t="s">
        <v>10112</v>
      </c>
      <c r="F789" s="18" t="s">
        <v>5752</v>
      </c>
    </row>
    <row r="790" spans="1:6" ht="20.100000000000001" customHeight="1">
      <c r="A790" s="27" t="s">
        <v>350</v>
      </c>
      <c r="C790" s="16"/>
      <c r="E790" s="18" t="s">
        <v>10113</v>
      </c>
      <c r="F790" s="18" t="s">
        <v>5760</v>
      </c>
    </row>
    <row r="791" spans="1:6" ht="20.100000000000001" customHeight="1">
      <c r="A791" s="27" t="s">
        <v>350</v>
      </c>
      <c r="C791" s="16"/>
      <c r="E791" s="18" t="s">
        <v>10114</v>
      </c>
      <c r="F791" s="18" t="s">
        <v>5768</v>
      </c>
    </row>
    <row r="792" spans="1:6" ht="20.100000000000001" customHeight="1">
      <c r="A792" s="27" t="s">
        <v>350</v>
      </c>
      <c r="C792" s="16"/>
      <c r="E792" s="18" t="s">
        <v>10115</v>
      </c>
      <c r="F792" s="18" t="s">
        <v>5782</v>
      </c>
    </row>
    <row r="793" spans="1:6" ht="20.100000000000001" customHeight="1">
      <c r="A793" s="27" t="s">
        <v>350</v>
      </c>
      <c r="C793" s="16"/>
      <c r="E793" s="18" t="s">
        <v>10116</v>
      </c>
      <c r="F793" s="18" t="s">
        <v>5790</v>
      </c>
    </row>
    <row r="794" spans="1:6" ht="20.100000000000001" customHeight="1">
      <c r="A794" s="27" t="s">
        <v>350</v>
      </c>
      <c r="C794" s="16"/>
      <c r="E794" s="18" t="s">
        <v>10117</v>
      </c>
      <c r="F794" s="18" t="s">
        <v>5798</v>
      </c>
    </row>
    <row r="795" spans="1:6" ht="20.100000000000001" customHeight="1">
      <c r="A795" s="27" t="s">
        <v>350</v>
      </c>
      <c r="C795" s="16"/>
      <c r="E795" s="18" t="s">
        <v>10118</v>
      </c>
      <c r="F795" s="18" t="s">
        <v>5806</v>
      </c>
    </row>
    <row r="796" spans="1:6" ht="20.100000000000001" customHeight="1">
      <c r="A796" s="27" t="s">
        <v>350</v>
      </c>
      <c r="C796" s="16"/>
      <c r="E796" s="18" t="s">
        <v>10119</v>
      </c>
      <c r="F796" s="18" t="s">
        <v>5814</v>
      </c>
    </row>
    <row r="797" spans="1:6" ht="20.100000000000001" customHeight="1">
      <c r="A797" s="29" t="s">
        <v>350</v>
      </c>
      <c r="C797" s="16"/>
      <c r="E797" s="18" t="s">
        <v>10120</v>
      </c>
      <c r="F797" s="18" t="s">
        <v>5829</v>
      </c>
    </row>
    <row r="798" spans="1:6" ht="20.100000000000001" customHeight="1">
      <c r="A798" s="27" t="s">
        <v>350</v>
      </c>
      <c r="C798" s="16"/>
      <c r="E798" s="18" t="s">
        <v>10121</v>
      </c>
      <c r="F798" s="18" t="s">
        <v>5837</v>
      </c>
    </row>
    <row r="799" spans="1:6" ht="20.100000000000001" customHeight="1">
      <c r="A799" s="27" t="s">
        <v>350</v>
      </c>
      <c r="C799" s="16"/>
      <c r="E799" s="18" t="s">
        <v>10122</v>
      </c>
      <c r="F799" s="18" t="s">
        <v>5845</v>
      </c>
    </row>
    <row r="800" spans="1:6" ht="20.100000000000001" customHeight="1">
      <c r="A800" s="27" t="s">
        <v>350</v>
      </c>
      <c r="C800" s="16"/>
      <c r="E800" s="18" t="s">
        <v>10123</v>
      </c>
      <c r="F800" s="18" t="s">
        <v>5853</v>
      </c>
    </row>
    <row r="801" spans="1:6" ht="20.100000000000001" customHeight="1">
      <c r="A801" s="27" t="s">
        <v>350</v>
      </c>
      <c r="C801" s="16"/>
      <c r="E801" s="18" t="s">
        <v>10124</v>
      </c>
      <c r="F801" s="18" t="s">
        <v>5861</v>
      </c>
    </row>
    <row r="802" spans="1:6" ht="20.100000000000001" customHeight="1">
      <c r="A802" s="27" t="s">
        <v>350</v>
      </c>
      <c r="C802" s="16"/>
      <c r="E802" s="18" t="s">
        <v>10125</v>
      </c>
      <c r="F802" s="18" t="s">
        <v>5869</v>
      </c>
    </row>
    <row r="803" spans="1:6" ht="20.100000000000001" customHeight="1">
      <c r="A803" s="27" t="s">
        <v>350</v>
      </c>
      <c r="C803" s="16"/>
      <c r="E803" s="18" t="s">
        <v>10126</v>
      </c>
      <c r="F803" s="18" t="s">
        <v>5877</v>
      </c>
    </row>
    <row r="804" spans="1:6" ht="20.100000000000001" customHeight="1">
      <c r="A804" s="27" t="s">
        <v>350</v>
      </c>
      <c r="C804" s="16"/>
      <c r="E804" s="18" t="s">
        <v>10127</v>
      </c>
      <c r="F804" s="18" t="s">
        <v>5885</v>
      </c>
    </row>
    <row r="805" spans="1:6" ht="20.100000000000001" customHeight="1">
      <c r="A805" s="27" t="s">
        <v>350</v>
      </c>
      <c r="C805" s="16"/>
      <c r="E805" s="18" t="s">
        <v>10128</v>
      </c>
      <c r="F805" s="18" t="s">
        <v>5892</v>
      </c>
    </row>
    <row r="806" spans="1:6" ht="20.100000000000001" customHeight="1">
      <c r="A806" s="27" t="s">
        <v>350</v>
      </c>
      <c r="C806" s="16"/>
      <c r="E806" s="18" t="s">
        <v>10129</v>
      </c>
      <c r="F806" s="18" t="s">
        <v>5900</v>
      </c>
    </row>
    <row r="807" spans="1:6" ht="20.100000000000001" customHeight="1">
      <c r="A807" s="27" t="s">
        <v>350</v>
      </c>
      <c r="C807" s="16"/>
      <c r="E807" s="18" t="s">
        <v>10130</v>
      </c>
      <c r="F807" s="18" t="s">
        <v>10451</v>
      </c>
    </row>
    <row r="808" spans="1:6" ht="20.100000000000001" customHeight="1">
      <c r="A808" s="27" t="s">
        <v>350</v>
      </c>
      <c r="C808" s="16"/>
      <c r="E808" s="18" t="s">
        <v>10131</v>
      </c>
      <c r="F808" s="18" t="s">
        <v>5908</v>
      </c>
    </row>
    <row r="809" spans="1:6" ht="20.100000000000001" customHeight="1">
      <c r="A809" s="27" t="s">
        <v>350</v>
      </c>
      <c r="C809" s="16"/>
      <c r="E809" s="18" t="s">
        <v>10132</v>
      </c>
      <c r="F809" s="18" t="s">
        <v>5916</v>
      </c>
    </row>
    <row r="810" spans="1:6" ht="20.100000000000001" customHeight="1">
      <c r="A810" s="27" t="s">
        <v>350</v>
      </c>
      <c r="C810" s="16"/>
      <c r="E810" s="18" t="s">
        <v>10133</v>
      </c>
      <c r="F810" s="18" t="s">
        <v>5924</v>
      </c>
    </row>
    <row r="811" spans="1:6" ht="20.100000000000001" customHeight="1">
      <c r="A811" s="27" t="s">
        <v>350</v>
      </c>
      <c r="C811" s="16"/>
      <c r="E811" s="18" t="s">
        <v>10134</v>
      </c>
      <c r="F811" s="18" t="s">
        <v>5932</v>
      </c>
    </row>
    <row r="812" spans="1:6" ht="20.100000000000001" customHeight="1">
      <c r="A812" s="27" t="s">
        <v>350</v>
      </c>
      <c r="C812" s="16"/>
      <c r="E812" s="18" t="s">
        <v>10135</v>
      </c>
      <c r="F812" s="18" t="s">
        <v>5940</v>
      </c>
    </row>
    <row r="813" spans="1:6" ht="20.100000000000001" customHeight="1">
      <c r="A813" s="27" t="s">
        <v>350</v>
      </c>
      <c r="C813" s="16"/>
      <c r="E813" s="18" t="s">
        <v>10136</v>
      </c>
      <c r="F813" s="18" t="s">
        <v>5948</v>
      </c>
    </row>
    <row r="814" spans="1:6" ht="20.100000000000001" customHeight="1">
      <c r="A814" s="27" t="s">
        <v>350</v>
      </c>
      <c r="C814" s="16"/>
      <c r="E814" s="18" t="s">
        <v>10137</v>
      </c>
      <c r="F814" s="18" t="s">
        <v>5955</v>
      </c>
    </row>
    <row r="815" spans="1:6" ht="20.100000000000001" customHeight="1">
      <c r="A815" s="27" t="s">
        <v>350</v>
      </c>
      <c r="C815" s="16"/>
      <c r="E815" s="18" t="s">
        <v>10138</v>
      </c>
      <c r="F815" s="18" t="s">
        <v>5962</v>
      </c>
    </row>
    <row r="816" spans="1:6" ht="20.100000000000001" customHeight="1">
      <c r="A816" s="27" t="s">
        <v>350</v>
      </c>
      <c r="C816" s="16"/>
      <c r="E816" s="18" t="s">
        <v>10139</v>
      </c>
      <c r="F816" s="18" t="s">
        <v>5969</v>
      </c>
    </row>
    <row r="817" spans="1:6" ht="20.100000000000001" customHeight="1">
      <c r="A817" s="27" t="s">
        <v>350</v>
      </c>
      <c r="C817" s="16"/>
      <c r="E817" s="18" t="s">
        <v>10140</v>
      </c>
      <c r="F817" s="18" t="s">
        <v>5977</v>
      </c>
    </row>
    <row r="818" spans="1:6" ht="20.100000000000001" customHeight="1">
      <c r="A818" s="27" t="s">
        <v>350</v>
      </c>
      <c r="C818" s="16"/>
      <c r="E818" s="18" t="s">
        <v>10141</v>
      </c>
      <c r="F818" s="18" t="s">
        <v>5985</v>
      </c>
    </row>
    <row r="819" spans="1:6" ht="20.100000000000001" customHeight="1">
      <c r="A819" s="27" t="s">
        <v>350</v>
      </c>
      <c r="C819" s="16"/>
      <c r="E819" s="18" t="s">
        <v>10142</v>
      </c>
      <c r="F819" s="18" t="s">
        <v>5993</v>
      </c>
    </row>
    <row r="820" spans="1:6" ht="20.100000000000001" customHeight="1">
      <c r="A820" s="27" t="s">
        <v>350</v>
      </c>
      <c r="C820" s="16"/>
      <c r="E820" s="18" t="s">
        <v>10143</v>
      </c>
      <c r="F820" s="18" t="s">
        <v>5999</v>
      </c>
    </row>
    <row r="821" spans="1:6" ht="20.100000000000001" customHeight="1">
      <c r="A821" s="27" t="s">
        <v>350</v>
      </c>
      <c r="C821" s="16"/>
      <c r="E821" s="18" t="s">
        <v>10144</v>
      </c>
      <c r="F821" s="18" t="s">
        <v>6007</v>
      </c>
    </row>
    <row r="822" spans="1:6" ht="20.100000000000001" customHeight="1">
      <c r="A822" s="27" t="s">
        <v>350</v>
      </c>
      <c r="C822" s="16"/>
      <c r="E822" s="18" t="s">
        <v>10145</v>
      </c>
      <c r="F822" s="18" t="s">
        <v>6015</v>
      </c>
    </row>
    <row r="823" spans="1:6" ht="20.100000000000001" customHeight="1">
      <c r="A823" s="27" t="s">
        <v>350</v>
      </c>
      <c r="C823" s="16"/>
      <c r="E823" s="18" t="s">
        <v>10146</v>
      </c>
      <c r="F823" s="18" t="s">
        <v>6023</v>
      </c>
    </row>
    <row r="824" spans="1:6" ht="20.100000000000001" customHeight="1">
      <c r="A824" s="27" t="s">
        <v>350</v>
      </c>
      <c r="C824" s="16"/>
      <c r="E824" s="18" t="s">
        <v>10147</v>
      </c>
      <c r="F824" s="18" t="s">
        <v>6031</v>
      </c>
    </row>
    <row r="825" spans="1:6" ht="20.100000000000001" customHeight="1">
      <c r="A825" s="27" t="s">
        <v>350</v>
      </c>
      <c r="C825" s="16"/>
      <c r="E825" s="18" t="s">
        <v>10148</v>
      </c>
      <c r="F825" s="18" t="s">
        <v>6039</v>
      </c>
    </row>
    <row r="826" spans="1:6" ht="20.100000000000001" customHeight="1">
      <c r="A826" s="27" t="s">
        <v>350</v>
      </c>
      <c r="C826" s="16"/>
      <c r="E826" s="18" t="s">
        <v>10149</v>
      </c>
      <c r="F826" s="18" t="s">
        <v>6047</v>
      </c>
    </row>
    <row r="827" spans="1:6" ht="20.100000000000001" customHeight="1">
      <c r="A827" s="27" t="s">
        <v>350</v>
      </c>
      <c r="C827" s="16"/>
      <c r="E827" s="18" t="s">
        <v>10150</v>
      </c>
      <c r="F827" s="18" t="s">
        <v>6055</v>
      </c>
    </row>
    <row r="828" spans="1:6" ht="20.100000000000001" customHeight="1">
      <c r="A828" s="27" t="s">
        <v>350</v>
      </c>
      <c r="C828" s="16"/>
      <c r="E828" s="18" t="s">
        <v>10151</v>
      </c>
      <c r="F828" s="18" t="s">
        <v>6063</v>
      </c>
    </row>
    <row r="829" spans="1:6" ht="20.100000000000001" customHeight="1">
      <c r="A829" s="27" t="s">
        <v>350</v>
      </c>
      <c r="C829" s="16"/>
      <c r="E829" s="18" t="s">
        <v>10152</v>
      </c>
      <c r="F829" s="18" t="s">
        <v>6071</v>
      </c>
    </row>
    <row r="830" spans="1:6" ht="20.100000000000001" customHeight="1">
      <c r="A830" s="27" t="s">
        <v>350</v>
      </c>
      <c r="C830" s="16"/>
      <c r="E830" s="18" t="s">
        <v>10153</v>
      </c>
      <c r="F830" s="18" t="s">
        <v>6079</v>
      </c>
    </row>
    <row r="831" spans="1:6" ht="20.100000000000001" customHeight="1">
      <c r="A831" s="27" t="s">
        <v>350</v>
      </c>
      <c r="C831" s="16"/>
      <c r="E831" s="18" t="s">
        <v>4025</v>
      </c>
      <c r="F831" s="18" t="s">
        <v>6087</v>
      </c>
    </row>
    <row r="832" spans="1:6" ht="20.100000000000001" customHeight="1">
      <c r="A832" s="27" t="s">
        <v>350</v>
      </c>
      <c r="C832" s="16"/>
      <c r="E832" s="18" t="s">
        <v>10154</v>
      </c>
      <c r="F832" s="18" t="s">
        <v>6095</v>
      </c>
    </row>
    <row r="833" spans="1:6" ht="20.100000000000001" customHeight="1">
      <c r="A833" s="27" t="s">
        <v>350</v>
      </c>
      <c r="C833" s="16"/>
      <c r="E833" s="18" t="s">
        <v>10155</v>
      </c>
      <c r="F833" s="18" t="s">
        <v>6102</v>
      </c>
    </row>
    <row r="834" spans="1:6" ht="20.100000000000001" customHeight="1">
      <c r="A834" s="27" t="s">
        <v>350</v>
      </c>
      <c r="C834" s="16"/>
      <c r="E834" s="18" t="s">
        <v>10156</v>
      </c>
      <c r="F834" s="18" t="s">
        <v>6109</v>
      </c>
    </row>
    <row r="835" spans="1:6" ht="20.100000000000001" customHeight="1">
      <c r="A835" s="27" t="s">
        <v>350</v>
      </c>
      <c r="C835" s="16"/>
      <c r="E835" s="18" t="s">
        <v>10157</v>
      </c>
      <c r="F835" s="18" t="s">
        <v>6117</v>
      </c>
    </row>
    <row r="836" spans="1:6" ht="20.100000000000001" customHeight="1">
      <c r="A836" s="27" t="s">
        <v>350</v>
      </c>
      <c r="C836" s="16"/>
      <c r="E836" s="18" t="s">
        <v>10158</v>
      </c>
      <c r="F836" s="18" t="s">
        <v>6125</v>
      </c>
    </row>
    <row r="837" spans="1:6" ht="20.100000000000001" customHeight="1">
      <c r="A837" s="27" t="s">
        <v>350</v>
      </c>
      <c r="C837" s="16"/>
      <c r="E837" s="18" t="s">
        <v>10159</v>
      </c>
      <c r="F837" s="18" t="s">
        <v>6133</v>
      </c>
    </row>
    <row r="838" spans="1:6" ht="20.100000000000001" customHeight="1">
      <c r="A838" s="27" t="s">
        <v>350</v>
      </c>
      <c r="C838" s="16"/>
      <c r="E838" s="18" t="s">
        <v>10160</v>
      </c>
      <c r="F838" s="18" t="s">
        <v>6141</v>
      </c>
    </row>
    <row r="839" spans="1:6" ht="20.100000000000001" customHeight="1">
      <c r="A839" s="27" t="s">
        <v>350</v>
      </c>
      <c r="C839" s="16"/>
      <c r="E839" s="18" t="s">
        <v>10161</v>
      </c>
      <c r="F839" s="18" t="s">
        <v>6149</v>
      </c>
    </row>
    <row r="840" spans="1:6" ht="20.100000000000001" customHeight="1">
      <c r="A840" s="27" t="s">
        <v>350</v>
      </c>
      <c r="C840" s="16"/>
      <c r="E840" s="18" t="s">
        <v>10162</v>
      </c>
      <c r="F840" s="18" t="s">
        <v>6157</v>
      </c>
    </row>
    <row r="841" spans="1:6" ht="20.100000000000001" customHeight="1">
      <c r="A841" s="27" t="s">
        <v>350</v>
      </c>
      <c r="C841" s="16"/>
      <c r="E841" s="18" t="s">
        <v>10163</v>
      </c>
      <c r="F841" s="18" t="s">
        <v>6165</v>
      </c>
    </row>
    <row r="842" spans="1:6" ht="20.100000000000001" customHeight="1">
      <c r="A842" s="27" t="s">
        <v>350</v>
      </c>
      <c r="C842" s="16"/>
      <c r="E842" s="18" t="s">
        <v>10164</v>
      </c>
      <c r="F842" s="18" t="s">
        <v>6173</v>
      </c>
    </row>
    <row r="843" spans="1:6" ht="20.100000000000001" customHeight="1">
      <c r="A843" s="27" t="s">
        <v>350</v>
      </c>
      <c r="C843" s="16"/>
      <c r="E843" s="18" t="s">
        <v>10165</v>
      </c>
      <c r="F843" s="18" t="s">
        <v>6181</v>
      </c>
    </row>
    <row r="844" spans="1:6" ht="20.100000000000001" customHeight="1">
      <c r="A844" s="27" t="s">
        <v>350</v>
      </c>
      <c r="C844" s="16"/>
      <c r="E844" s="18" t="s">
        <v>10166</v>
      </c>
      <c r="F844" s="18" t="s">
        <v>6189</v>
      </c>
    </row>
    <row r="845" spans="1:6" ht="20.100000000000001" customHeight="1">
      <c r="A845" s="27" t="s">
        <v>350</v>
      </c>
      <c r="C845" s="16"/>
      <c r="E845" s="18" t="s">
        <v>10167</v>
      </c>
      <c r="F845" s="18" t="s">
        <v>6196</v>
      </c>
    </row>
    <row r="846" spans="1:6" ht="20.100000000000001" customHeight="1">
      <c r="A846" s="27" t="s">
        <v>350</v>
      </c>
      <c r="C846" s="16"/>
      <c r="E846" s="18" t="s">
        <v>10168</v>
      </c>
      <c r="F846" s="18" t="s">
        <v>6203</v>
      </c>
    </row>
    <row r="847" spans="1:6" ht="20.100000000000001" customHeight="1">
      <c r="A847" s="27" t="s">
        <v>350</v>
      </c>
      <c r="C847" s="16"/>
      <c r="E847" s="18" t="s">
        <v>10169</v>
      </c>
      <c r="F847" s="18" t="s">
        <v>6211</v>
      </c>
    </row>
    <row r="848" spans="1:6" ht="20.100000000000001" customHeight="1">
      <c r="A848" s="27" t="s">
        <v>350</v>
      </c>
      <c r="C848" s="16"/>
      <c r="E848" s="18" t="s">
        <v>10170</v>
      </c>
      <c r="F848" s="18" t="s">
        <v>6219</v>
      </c>
    </row>
    <row r="849" spans="1:6" ht="20.100000000000001" customHeight="1">
      <c r="A849" s="27" t="s">
        <v>350</v>
      </c>
      <c r="C849" s="16"/>
      <c r="E849" s="18" t="s">
        <v>10171</v>
      </c>
      <c r="F849" s="18" t="s">
        <v>6227</v>
      </c>
    </row>
    <row r="850" spans="1:6" ht="20.100000000000001" customHeight="1">
      <c r="A850" s="27" t="s">
        <v>350</v>
      </c>
      <c r="C850" s="16"/>
      <c r="E850" s="18" t="s">
        <v>10172</v>
      </c>
      <c r="F850" s="18" t="s">
        <v>6235</v>
      </c>
    </row>
    <row r="851" spans="1:6" ht="20.100000000000001" customHeight="1">
      <c r="A851" s="27" t="s">
        <v>350</v>
      </c>
      <c r="C851" s="16"/>
      <c r="E851" s="18" t="s">
        <v>10173</v>
      </c>
      <c r="F851" s="18" t="s">
        <v>6243</v>
      </c>
    </row>
    <row r="852" spans="1:6" ht="20.100000000000001" customHeight="1">
      <c r="A852" s="27" t="s">
        <v>350</v>
      </c>
      <c r="C852" s="16"/>
      <c r="E852" s="18" t="s">
        <v>10174</v>
      </c>
      <c r="F852" s="18" t="s">
        <v>6250</v>
      </c>
    </row>
    <row r="853" spans="1:6" ht="20.100000000000001" customHeight="1">
      <c r="A853" s="27" t="s">
        <v>350</v>
      </c>
      <c r="C853" s="16"/>
      <c r="E853" s="18" t="s">
        <v>10175</v>
      </c>
      <c r="F853" s="18" t="s">
        <v>6258</v>
      </c>
    </row>
    <row r="854" spans="1:6" ht="20.100000000000001" customHeight="1">
      <c r="A854" s="27" t="s">
        <v>350</v>
      </c>
      <c r="C854" s="16"/>
      <c r="E854" s="18" t="s">
        <v>10176</v>
      </c>
      <c r="F854" s="18" t="s">
        <v>6266</v>
      </c>
    </row>
    <row r="855" spans="1:6" ht="20.100000000000001" customHeight="1">
      <c r="A855" s="27" t="s">
        <v>350</v>
      </c>
      <c r="C855" s="16"/>
      <c r="E855" s="18" t="s">
        <v>10177</v>
      </c>
      <c r="F855" s="18" t="s">
        <v>6273</v>
      </c>
    </row>
    <row r="856" spans="1:6" ht="20.100000000000001" customHeight="1">
      <c r="A856" s="27" t="s">
        <v>350</v>
      </c>
      <c r="C856" s="16"/>
      <c r="E856" s="18" t="s">
        <v>10178</v>
      </c>
      <c r="F856" s="18" t="s">
        <v>6281</v>
      </c>
    </row>
    <row r="857" spans="1:6" ht="20.100000000000001" customHeight="1">
      <c r="A857" s="27" t="s">
        <v>350</v>
      </c>
      <c r="C857" s="16"/>
      <c r="E857" s="18" t="s">
        <v>10179</v>
      </c>
      <c r="F857" s="18" t="s">
        <v>6289</v>
      </c>
    </row>
    <row r="858" spans="1:6" ht="20.100000000000001" customHeight="1">
      <c r="A858" s="27" t="s">
        <v>350</v>
      </c>
      <c r="C858" s="16"/>
      <c r="E858" s="18" t="s">
        <v>10180</v>
      </c>
      <c r="F858" s="18" t="s">
        <v>6296</v>
      </c>
    </row>
    <row r="859" spans="1:6" ht="20.100000000000001" customHeight="1">
      <c r="A859" s="27" t="s">
        <v>350</v>
      </c>
      <c r="C859" s="16"/>
      <c r="E859" s="18" t="s">
        <v>10181</v>
      </c>
      <c r="F859" s="18" t="s">
        <v>6304</v>
      </c>
    </row>
    <row r="860" spans="1:6" ht="20.100000000000001" customHeight="1">
      <c r="A860" s="27" t="s">
        <v>350</v>
      </c>
      <c r="C860" s="16"/>
      <c r="E860" s="18" t="s">
        <v>10182</v>
      </c>
      <c r="F860" s="18" t="s">
        <v>6312</v>
      </c>
    </row>
    <row r="861" spans="1:6" ht="20.100000000000001" customHeight="1">
      <c r="A861" s="27" t="s">
        <v>350</v>
      </c>
      <c r="C861" s="16"/>
      <c r="E861" s="18" t="s">
        <v>10183</v>
      </c>
      <c r="F861" s="18" t="s">
        <v>6320</v>
      </c>
    </row>
    <row r="862" spans="1:6" ht="20.100000000000001" customHeight="1">
      <c r="A862" s="27" t="s">
        <v>350</v>
      </c>
      <c r="C862" s="16"/>
      <c r="E862" s="18" t="s">
        <v>4028</v>
      </c>
      <c r="F862" s="18" t="s">
        <v>6328</v>
      </c>
    </row>
    <row r="863" spans="1:6" ht="20.100000000000001" customHeight="1">
      <c r="A863" s="27" t="s">
        <v>350</v>
      </c>
      <c r="B863" s="29"/>
      <c r="C863" s="16"/>
      <c r="E863" s="18" t="s">
        <v>10184</v>
      </c>
      <c r="F863" s="18" t="s">
        <v>6336</v>
      </c>
    </row>
    <row r="864" spans="1:6" ht="20.100000000000001" customHeight="1">
      <c r="A864" s="27" t="s">
        <v>350</v>
      </c>
      <c r="B864" s="29"/>
      <c r="C864" s="16"/>
      <c r="E864" s="18" t="s">
        <v>10185</v>
      </c>
      <c r="F864" s="18" t="s">
        <v>6344</v>
      </c>
    </row>
    <row r="865" spans="1:6" ht="20.100000000000001" customHeight="1">
      <c r="A865" s="27" t="s">
        <v>350</v>
      </c>
      <c r="B865" s="29"/>
      <c r="C865" s="16"/>
      <c r="E865" s="18" t="s">
        <v>10186</v>
      </c>
      <c r="F865" s="18" t="s">
        <v>6352</v>
      </c>
    </row>
    <row r="866" spans="1:6" ht="20.100000000000001" customHeight="1">
      <c r="A866" s="27" t="s">
        <v>350</v>
      </c>
      <c r="B866" s="29"/>
      <c r="C866" s="16"/>
      <c r="E866" s="18" t="s">
        <v>10187</v>
      </c>
      <c r="F866" s="18" t="s">
        <v>6359</v>
      </c>
    </row>
    <row r="867" spans="1:6" ht="20.100000000000001" customHeight="1">
      <c r="A867" s="29" t="s">
        <v>350</v>
      </c>
      <c r="B867" s="29"/>
      <c r="C867" s="16"/>
      <c r="E867" s="18" t="s">
        <v>10188</v>
      </c>
      <c r="F867" s="18" t="s">
        <v>6367</v>
      </c>
    </row>
    <row r="868" spans="1:6" ht="20.100000000000001" customHeight="1">
      <c r="A868" s="27" t="s">
        <v>350</v>
      </c>
      <c r="B868" s="29"/>
      <c r="C868" s="16"/>
      <c r="E868" s="18" t="s">
        <v>10189</v>
      </c>
      <c r="F868" s="18" t="s">
        <v>6375</v>
      </c>
    </row>
    <row r="869" spans="1:6" ht="20.100000000000001" customHeight="1">
      <c r="A869" s="27" t="s">
        <v>350</v>
      </c>
      <c r="B869" s="29"/>
      <c r="C869" s="16"/>
      <c r="E869" s="18" t="s">
        <v>10190</v>
      </c>
      <c r="F869" s="18" t="s">
        <v>6383</v>
      </c>
    </row>
    <row r="870" spans="1:6" ht="20.100000000000001" customHeight="1">
      <c r="A870" s="27" t="s">
        <v>350</v>
      </c>
      <c r="B870" s="29"/>
      <c r="C870" s="16"/>
      <c r="E870" s="18" t="s">
        <v>10191</v>
      </c>
      <c r="F870" s="18" t="s">
        <v>6391</v>
      </c>
    </row>
    <row r="871" spans="1:6" ht="20.100000000000001" customHeight="1">
      <c r="A871" s="27" t="s">
        <v>350</v>
      </c>
      <c r="B871" s="29"/>
      <c r="C871" s="16"/>
      <c r="E871" s="18" t="s">
        <v>10192</v>
      </c>
      <c r="F871" s="18" t="s">
        <v>6399</v>
      </c>
    </row>
    <row r="872" spans="1:6" ht="20.100000000000001" customHeight="1">
      <c r="A872" s="27" t="s">
        <v>350</v>
      </c>
      <c r="C872" s="16"/>
      <c r="E872" s="18" t="s">
        <v>10193</v>
      </c>
      <c r="F872" s="18" t="s">
        <v>6407</v>
      </c>
    </row>
    <row r="873" spans="1:6" ht="20.100000000000001" customHeight="1">
      <c r="A873" s="27" t="s">
        <v>350</v>
      </c>
      <c r="C873" s="16"/>
      <c r="E873" s="18" t="s">
        <v>10194</v>
      </c>
      <c r="F873" s="18" t="s">
        <v>6414</v>
      </c>
    </row>
    <row r="874" spans="1:6" ht="20.100000000000001" customHeight="1">
      <c r="A874" s="27" t="s">
        <v>350</v>
      </c>
      <c r="C874" s="16"/>
      <c r="E874" s="18" t="s">
        <v>10195</v>
      </c>
      <c r="F874" s="18" t="s">
        <v>6421</v>
      </c>
    </row>
    <row r="875" spans="1:6" ht="20.100000000000001" customHeight="1">
      <c r="A875" s="27" t="s">
        <v>350</v>
      </c>
      <c r="C875" s="16"/>
      <c r="E875" s="18" t="s">
        <v>10196</v>
      </c>
      <c r="F875" s="18" t="s">
        <v>6428</v>
      </c>
    </row>
    <row r="876" spans="1:6" ht="20.100000000000001" customHeight="1">
      <c r="A876" s="27" t="s">
        <v>350</v>
      </c>
      <c r="C876" s="16"/>
      <c r="E876" s="18" t="s">
        <v>10197</v>
      </c>
      <c r="F876" s="18" t="s">
        <v>6436</v>
      </c>
    </row>
    <row r="877" spans="1:6" ht="20.100000000000001" customHeight="1">
      <c r="A877" s="27" t="s">
        <v>350</v>
      </c>
      <c r="C877" s="16"/>
      <c r="E877" s="18" t="s">
        <v>10198</v>
      </c>
      <c r="F877" s="18" t="s">
        <v>6444</v>
      </c>
    </row>
    <row r="878" spans="1:6" ht="20.100000000000001" customHeight="1">
      <c r="A878" s="27" t="s">
        <v>350</v>
      </c>
      <c r="C878" s="16"/>
      <c r="E878" s="18" t="s">
        <v>10199</v>
      </c>
      <c r="F878" s="18" t="s">
        <v>6452</v>
      </c>
    </row>
    <row r="879" spans="1:6" ht="20.100000000000001" customHeight="1">
      <c r="A879" s="27" t="s">
        <v>350</v>
      </c>
      <c r="C879" s="16"/>
      <c r="E879" s="18" t="s">
        <v>10200</v>
      </c>
      <c r="F879" s="18" t="s">
        <v>6459</v>
      </c>
    </row>
    <row r="880" spans="1:6" ht="20.100000000000001" customHeight="1">
      <c r="A880" s="27" t="s">
        <v>350</v>
      </c>
      <c r="C880" s="16"/>
      <c r="E880" s="18" t="s">
        <v>10201</v>
      </c>
      <c r="F880" s="18" t="s">
        <v>6467</v>
      </c>
    </row>
    <row r="881" spans="1:6" ht="20.100000000000001" customHeight="1">
      <c r="A881" s="27" t="s">
        <v>350</v>
      </c>
      <c r="C881" s="16"/>
      <c r="D881" s="18"/>
      <c r="E881" s="18" t="s">
        <v>10202</v>
      </c>
      <c r="F881" s="18" t="s">
        <v>6475</v>
      </c>
    </row>
    <row r="882" spans="1:6" ht="20.100000000000001" customHeight="1">
      <c r="A882" s="27" t="s">
        <v>350</v>
      </c>
      <c r="C882" s="16"/>
      <c r="D882" s="18"/>
      <c r="E882" s="18" t="s">
        <v>10203</v>
      </c>
      <c r="F882" s="18" t="s">
        <v>6483</v>
      </c>
    </row>
    <row r="883" spans="1:6" ht="20.100000000000001" customHeight="1">
      <c r="A883" s="27" t="s">
        <v>350</v>
      </c>
      <c r="C883" s="16"/>
      <c r="D883" s="18"/>
      <c r="E883" s="18" t="s">
        <v>10204</v>
      </c>
      <c r="F883" s="18" t="s">
        <v>6491</v>
      </c>
    </row>
    <row r="884" spans="1:6" ht="20.100000000000001" customHeight="1">
      <c r="A884" s="27" t="s">
        <v>350</v>
      </c>
      <c r="C884" s="16"/>
      <c r="D884" s="18"/>
      <c r="E884" s="18" t="s">
        <v>10205</v>
      </c>
      <c r="F884" s="18" t="s">
        <v>6498</v>
      </c>
    </row>
    <row r="885" spans="1:6" ht="20.100000000000001" customHeight="1">
      <c r="A885" s="27" t="s">
        <v>350</v>
      </c>
      <c r="C885" s="16"/>
      <c r="E885" s="18" t="s">
        <v>10206</v>
      </c>
      <c r="F885" s="18" t="s">
        <v>6506</v>
      </c>
    </row>
    <row r="886" spans="1:6" ht="20.100000000000001" customHeight="1">
      <c r="A886" s="27" t="s">
        <v>350</v>
      </c>
      <c r="C886" s="16"/>
      <c r="E886" s="18" t="s">
        <v>10207</v>
      </c>
      <c r="F886" s="18" t="s">
        <v>6514</v>
      </c>
    </row>
    <row r="887" spans="1:6" ht="20.100000000000001" customHeight="1">
      <c r="A887" s="27" t="s">
        <v>350</v>
      </c>
      <c r="C887" s="16"/>
      <c r="E887" s="18" t="s">
        <v>10208</v>
      </c>
      <c r="F887" s="18" t="s">
        <v>6522</v>
      </c>
    </row>
    <row r="888" spans="1:6" ht="20.100000000000001" customHeight="1">
      <c r="A888" s="27" t="s">
        <v>350</v>
      </c>
      <c r="C888" s="16"/>
      <c r="E888" s="18" t="s">
        <v>10209</v>
      </c>
      <c r="F888" s="18" t="s">
        <v>6529</v>
      </c>
    </row>
    <row r="889" spans="1:6" ht="20.100000000000001" customHeight="1">
      <c r="A889" s="27" t="s">
        <v>350</v>
      </c>
      <c r="C889" s="16"/>
      <c r="E889" s="18" t="s">
        <v>10210</v>
      </c>
      <c r="F889" s="18" t="s">
        <v>6537</v>
      </c>
    </row>
    <row r="890" spans="1:6" ht="20.100000000000001" customHeight="1">
      <c r="A890" s="27" t="s">
        <v>350</v>
      </c>
      <c r="C890" s="16"/>
      <c r="E890" s="18" t="s">
        <v>10211</v>
      </c>
      <c r="F890" s="18" t="s">
        <v>6545</v>
      </c>
    </row>
    <row r="891" spans="1:6" ht="20.100000000000001" customHeight="1">
      <c r="A891" s="27" t="s">
        <v>350</v>
      </c>
      <c r="C891" s="16"/>
      <c r="E891" s="18" t="s">
        <v>10212</v>
      </c>
      <c r="F891" s="18" t="s">
        <v>6553</v>
      </c>
    </row>
    <row r="892" spans="1:6" ht="20.100000000000001" customHeight="1">
      <c r="A892" s="27" t="s">
        <v>350</v>
      </c>
      <c r="C892" s="16"/>
      <c r="E892" s="18" t="s">
        <v>10213</v>
      </c>
      <c r="F892" s="18" t="s">
        <v>6561</v>
      </c>
    </row>
    <row r="893" spans="1:6" ht="20.100000000000001" customHeight="1">
      <c r="A893" s="27" t="s">
        <v>350</v>
      </c>
      <c r="C893" s="16"/>
      <c r="E893" s="18" t="s">
        <v>10214</v>
      </c>
      <c r="F893" s="18" t="s">
        <v>6569</v>
      </c>
    </row>
    <row r="894" spans="1:6" ht="20.100000000000001" customHeight="1">
      <c r="A894" s="27" t="s">
        <v>350</v>
      </c>
      <c r="C894" s="16"/>
      <c r="E894" s="18" t="s">
        <v>10215</v>
      </c>
      <c r="F894" s="18" t="s">
        <v>6577</v>
      </c>
    </row>
    <row r="895" spans="1:6" ht="20.100000000000001" customHeight="1">
      <c r="A895" s="27" t="s">
        <v>350</v>
      </c>
      <c r="C895" s="16"/>
      <c r="E895" s="18" t="s">
        <v>10216</v>
      </c>
      <c r="F895" s="18" t="s">
        <v>6585</v>
      </c>
    </row>
    <row r="896" spans="1:6" ht="20.100000000000001" customHeight="1">
      <c r="A896" s="27" t="s">
        <v>350</v>
      </c>
      <c r="C896" s="16"/>
      <c r="E896" s="18" t="s">
        <v>10217</v>
      </c>
      <c r="F896" s="18" t="s">
        <v>6593</v>
      </c>
    </row>
    <row r="897" spans="1:6" ht="20.100000000000001" customHeight="1">
      <c r="A897" s="27" t="s">
        <v>350</v>
      </c>
      <c r="C897" s="16"/>
      <c r="E897" s="18" t="s">
        <v>10218</v>
      </c>
      <c r="F897" s="18" t="s">
        <v>6600</v>
      </c>
    </row>
    <row r="898" spans="1:6" ht="20.100000000000001" customHeight="1">
      <c r="A898" s="27" t="s">
        <v>350</v>
      </c>
      <c r="C898" s="16"/>
      <c r="E898" s="18" t="s">
        <v>10219</v>
      </c>
      <c r="F898" s="18" t="s">
        <v>6608</v>
      </c>
    </row>
    <row r="899" spans="1:6" ht="20.100000000000001" customHeight="1">
      <c r="A899" s="27" t="s">
        <v>350</v>
      </c>
      <c r="C899" s="16"/>
      <c r="E899" s="18" t="s">
        <v>10220</v>
      </c>
      <c r="F899" s="18" t="s">
        <v>6616</v>
      </c>
    </row>
    <row r="900" spans="1:6" ht="20.100000000000001" customHeight="1">
      <c r="A900" s="27" t="s">
        <v>350</v>
      </c>
      <c r="B900" s="29"/>
      <c r="C900" s="16"/>
      <c r="E900" s="18" t="s">
        <v>10221</v>
      </c>
      <c r="F900" s="18" t="s">
        <v>6624</v>
      </c>
    </row>
    <row r="901" spans="1:6" ht="20.100000000000001" customHeight="1">
      <c r="A901" s="27" t="s">
        <v>350</v>
      </c>
      <c r="B901" s="29"/>
      <c r="C901" s="16"/>
      <c r="E901" s="18" t="s">
        <v>10222</v>
      </c>
      <c r="F901" s="18" t="s">
        <v>6632</v>
      </c>
    </row>
    <row r="902" spans="1:6" ht="20.100000000000001" customHeight="1">
      <c r="A902" s="27" t="s">
        <v>350</v>
      </c>
      <c r="B902" s="29"/>
      <c r="C902" s="16"/>
      <c r="E902" s="18" t="s">
        <v>10223</v>
      </c>
      <c r="F902" s="18" t="s">
        <v>6640</v>
      </c>
    </row>
    <row r="903" spans="1:6" ht="20.100000000000001" customHeight="1">
      <c r="A903" s="27" t="s">
        <v>350</v>
      </c>
      <c r="B903" s="29"/>
      <c r="C903" s="16"/>
      <c r="E903" s="18" t="s">
        <v>10224</v>
      </c>
      <c r="F903" s="18" t="s">
        <v>6648</v>
      </c>
    </row>
    <row r="904" spans="1:6" ht="20.100000000000001" customHeight="1">
      <c r="A904" s="29" t="s">
        <v>350</v>
      </c>
      <c r="C904" s="16"/>
      <c r="E904" s="18" t="s">
        <v>10225</v>
      </c>
      <c r="F904" s="18" t="s">
        <v>6654</v>
      </c>
    </row>
    <row r="905" spans="1:6" ht="20.100000000000001" customHeight="1">
      <c r="A905" s="27" t="s">
        <v>350</v>
      </c>
      <c r="C905" s="16"/>
      <c r="E905" s="18" t="s">
        <v>10226</v>
      </c>
      <c r="F905" s="18" t="s">
        <v>6662</v>
      </c>
    </row>
    <row r="906" spans="1:6" ht="20.100000000000001" customHeight="1">
      <c r="A906" s="27" t="s">
        <v>350</v>
      </c>
      <c r="C906" s="16"/>
      <c r="E906" s="18" t="s">
        <v>10227</v>
      </c>
      <c r="F906" s="18" t="s">
        <v>6670</v>
      </c>
    </row>
    <row r="907" spans="1:6" ht="20.100000000000001" customHeight="1">
      <c r="A907" s="27" t="s">
        <v>350</v>
      </c>
      <c r="C907" s="16"/>
      <c r="E907" s="18" t="s">
        <v>10228</v>
      </c>
      <c r="F907" s="18" t="s">
        <v>6678</v>
      </c>
    </row>
    <row r="908" spans="1:6" ht="20.100000000000001" customHeight="1">
      <c r="A908" s="27" t="s">
        <v>350</v>
      </c>
      <c r="C908" s="16"/>
      <c r="E908" s="18" t="s">
        <v>10229</v>
      </c>
      <c r="F908" s="18" t="s">
        <v>6685</v>
      </c>
    </row>
    <row r="909" spans="1:6" ht="20.100000000000001" customHeight="1">
      <c r="A909" s="27" t="s">
        <v>350</v>
      </c>
      <c r="C909" s="16"/>
      <c r="E909" s="18" t="s">
        <v>10230</v>
      </c>
      <c r="F909" s="18" t="s">
        <v>6693</v>
      </c>
    </row>
    <row r="910" spans="1:6" ht="20.100000000000001" customHeight="1">
      <c r="A910" s="27" t="s">
        <v>350</v>
      </c>
      <c r="C910" s="16"/>
      <c r="E910" s="18" t="s">
        <v>10231</v>
      </c>
      <c r="F910" s="18" t="s">
        <v>6701</v>
      </c>
    </row>
    <row r="911" spans="1:6" ht="20.100000000000001" customHeight="1">
      <c r="A911" s="27" t="s">
        <v>350</v>
      </c>
      <c r="C911" s="16"/>
      <c r="E911" s="18" t="s">
        <v>10232</v>
      </c>
      <c r="F911" s="18" t="s">
        <v>6709</v>
      </c>
    </row>
    <row r="912" spans="1:6" ht="20.100000000000001" customHeight="1">
      <c r="A912" s="27" t="s">
        <v>350</v>
      </c>
      <c r="C912" s="16"/>
      <c r="E912" s="18" t="s">
        <v>10233</v>
      </c>
      <c r="F912" s="18" t="s">
        <v>6717</v>
      </c>
    </row>
    <row r="913" spans="1:6" ht="20.100000000000001" customHeight="1">
      <c r="A913" s="27" t="s">
        <v>350</v>
      </c>
      <c r="C913" s="16"/>
      <c r="E913" s="18" t="s">
        <v>10234</v>
      </c>
      <c r="F913" s="18" t="s">
        <v>6725</v>
      </c>
    </row>
    <row r="914" spans="1:6" ht="20.100000000000001" customHeight="1">
      <c r="A914" s="27" t="s">
        <v>350</v>
      </c>
      <c r="C914" s="16"/>
      <c r="E914" s="18" t="s">
        <v>10235</v>
      </c>
      <c r="F914" s="18" t="s">
        <v>6733</v>
      </c>
    </row>
    <row r="915" spans="1:6" ht="20.100000000000001" customHeight="1">
      <c r="A915" s="27" t="s">
        <v>350</v>
      </c>
      <c r="C915" s="16"/>
      <c r="E915" s="18" t="s">
        <v>10236</v>
      </c>
      <c r="F915" s="18" t="s">
        <v>6741</v>
      </c>
    </row>
    <row r="916" spans="1:6" ht="20.100000000000001" customHeight="1">
      <c r="A916" s="27" t="s">
        <v>350</v>
      </c>
      <c r="C916" s="16"/>
      <c r="E916" s="18" t="s">
        <v>10237</v>
      </c>
      <c r="F916" s="18" t="s">
        <v>6749</v>
      </c>
    </row>
    <row r="917" spans="1:6" ht="20.100000000000001" customHeight="1">
      <c r="A917" s="27" t="s">
        <v>350</v>
      </c>
      <c r="C917" s="16"/>
      <c r="E917" s="18" t="s">
        <v>10238</v>
      </c>
      <c r="F917" s="18" t="s">
        <v>6757</v>
      </c>
    </row>
    <row r="918" spans="1:6" ht="20.100000000000001" customHeight="1">
      <c r="A918" s="27" t="s">
        <v>350</v>
      </c>
      <c r="C918" s="16"/>
      <c r="E918" s="18" t="s">
        <v>10239</v>
      </c>
      <c r="F918" s="18" t="s">
        <v>6765</v>
      </c>
    </row>
    <row r="919" spans="1:6" ht="20.100000000000001" customHeight="1">
      <c r="A919" s="27" t="s">
        <v>350</v>
      </c>
      <c r="C919" s="16"/>
      <c r="E919" s="18" t="s">
        <v>10240</v>
      </c>
      <c r="F919" s="18" t="s">
        <v>6773</v>
      </c>
    </row>
    <row r="920" spans="1:6" ht="20.100000000000001" customHeight="1">
      <c r="A920" s="27" t="s">
        <v>350</v>
      </c>
      <c r="C920" s="16"/>
      <c r="E920" s="18" t="s">
        <v>10241</v>
      </c>
      <c r="F920" s="18" t="s">
        <v>6781</v>
      </c>
    </row>
    <row r="921" spans="1:6" ht="20.100000000000001" customHeight="1">
      <c r="A921" s="27" t="s">
        <v>350</v>
      </c>
      <c r="C921" s="16"/>
      <c r="E921" s="18" t="s">
        <v>10242</v>
      </c>
      <c r="F921" s="18" t="s">
        <v>6789</v>
      </c>
    </row>
    <row r="922" spans="1:6" ht="20.100000000000001" customHeight="1">
      <c r="A922" s="27" t="s">
        <v>350</v>
      </c>
      <c r="C922" s="16"/>
      <c r="E922" s="18" t="s">
        <v>10243</v>
      </c>
      <c r="F922" s="18" t="s">
        <v>6797</v>
      </c>
    </row>
    <row r="923" spans="1:6" ht="20.100000000000001" customHeight="1">
      <c r="A923" s="27" t="s">
        <v>350</v>
      </c>
      <c r="B923" s="29"/>
      <c r="C923" s="16"/>
      <c r="E923" s="18" t="s">
        <v>10244</v>
      </c>
      <c r="F923" s="18" t="s">
        <v>6805</v>
      </c>
    </row>
    <row r="924" spans="1:6" ht="20.100000000000001" customHeight="1">
      <c r="A924" s="27" t="s">
        <v>350</v>
      </c>
      <c r="B924" s="29"/>
      <c r="C924" s="16"/>
      <c r="E924" s="18" t="s">
        <v>10245</v>
      </c>
      <c r="F924" s="18" t="s">
        <v>6813</v>
      </c>
    </row>
    <row r="925" spans="1:6" ht="20.100000000000001" customHeight="1">
      <c r="A925" s="27" t="s">
        <v>350</v>
      </c>
      <c r="B925" s="29"/>
      <c r="C925" s="16"/>
      <c r="E925" s="18" t="s">
        <v>10246</v>
      </c>
      <c r="F925" s="18" t="s">
        <v>6821</v>
      </c>
    </row>
    <row r="926" spans="1:6" ht="20.100000000000001" customHeight="1">
      <c r="A926" s="27" t="s">
        <v>350</v>
      </c>
      <c r="B926" s="29"/>
      <c r="C926" s="16"/>
      <c r="E926" s="18" t="s">
        <v>10247</v>
      </c>
      <c r="F926" s="18" t="s">
        <v>6829</v>
      </c>
    </row>
    <row r="927" spans="1:6" ht="20.100000000000001" customHeight="1">
      <c r="A927" s="29" t="s">
        <v>350</v>
      </c>
      <c r="B927" s="29"/>
      <c r="C927" s="16"/>
      <c r="E927" s="18" t="s">
        <v>10248</v>
      </c>
      <c r="F927" s="18" t="s">
        <v>6837</v>
      </c>
    </row>
    <row r="928" spans="1:6" ht="20.100000000000001" customHeight="1">
      <c r="A928" s="27" t="s">
        <v>350</v>
      </c>
      <c r="B928" s="29"/>
      <c r="C928" s="16"/>
      <c r="E928" s="18" t="s">
        <v>10249</v>
      </c>
      <c r="F928" s="18" t="s">
        <v>6845</v>
      </c>
    </row>
    <row r="929" spans="1:6" ht="20.100000000000001" customHeight="1">
      <c r="A929" s="27" t="s">
        <v>350</v>
      </c>
      <c r="B929" s="29"/>
      <c r="C929" s="16"/>
      <c r="E929" s="18" t="s">
        <v>10250</v>
      </c>
      <c r="F929" s="18" t="s">
        <v>6853</v>
      </c>
    </row>
    <row r="930" spans="1:6" ht="20.100000000000001" customHeight="1">
      <c r="A930" s="27" t="s">
        <v>350</v>
      </c>
      <c r="B930" s="29"/>
      <c r="C930" s="16"/>
      <c r="E930" s="18" t="s">
        <v>10251</v>
      </c>
      <c r="F930" s="18" t="s">
        <v>6860</v>
      </c>
    </row>
    <row r="931" spans="1:6" ht="20.100000000000001" customHeight="1">
      <c r="A931" s="27" t="s">
        <v>350</v>
      </c>
      <c r="B931" s="29"/>
      <c r="C931" s="16"/>
      <c r="E931" s="18" t="s">
        <v>10252</v>
      </c>
      <c r="F931" s="18" t="s">
        <v>6868</v>
      </c>
    </row>
    <row r="932" spans="1:6" ht="20.100000000000001" customHeight="1">
      <c r="A932" s="27" t="s">
        <v>350</v>
      </c>
      <c r="B932" s="29"/>
      <c r="C932" s="16"/>
      <c r="E932" s="18" t="s">
        <v>10253</v>
      </c>
      <c r="F932" s="18" t="s">
        <v>6876</v>
      </c>
    </row>
    <row r="933" spans="1:6" ht="20.100000000000001" customHeight="1">
      <c r="A933" s="27" t="s">
        <v>350</v>
      </c>
      <c r="B933" s="29"/>
      <c r="C933" s="16"/>
      <c r="E933" s="18" t="s">
        <v>10254</v>
      </c>
      <c r="F933" s="18" t="s">
        <v>6884</v>
      </c>
    </row>
    <row r="934" spans="1:6" ht="20.100000000000001" customHeight="1">
      <c r="A934" s="27" t="s">
        <v>350</v>
      </c>
      <c r="B934" s="29"/>
      <c r="C934" s="16"/>
      <c r="E934" s="18" t="s">
        <v>10255</v>
      </c>
      <c r="F934" s="18" t="s">
        <v>6892</v>
      </c>
    </row>
    <row r="935" spans="1:6" ht="20.100000000000001" customHeight="1">
      <c r="A935" s="27" t="s">
        <v>350</v>
      </c>
      <c r="B935" s="29"/>
      <c r="C935" s="16"/>
      <c r="E935" s="18" t="s">
        <v>10256</v>
      </c>
      <c r="F935" s="18" t="s">
        <v>6900</v>
      </c>
    </row>
    <row r="936" spans="1:6" ht="20.100000000000001" customHeight="1">
      <c r="A936" s="27" t="s">
        <v>350</v>
      </c>
      <c r="B936" s="29"/>
      <c r="C936" s="16"/>
      <c r="E936" s="18" t="s">
        <v>10257</v>
      </c>
      <c r="F936" s="18" t="s">
        <v>6908</v>
      </c>
    </row>
    <row r="937" spans="1:6" ht="20.100000000000001" customHeight="1">
      <c r="A937" s="27" t="s">
        <v>350</v>
      </c>
      <c r="B937" s="29"/>
      <c r="C937" s="16"/>
      <c r="E937" s="18" t="s">
        <v>10258</v>
      </c>
      <c r="F937" s="18" t="s">
        <v>6915</v>
      </c>
    </row>
    <row r="938" spans="1:6" ht="20.100000000000001" customHeight="1">
      <c r="A938" s="27" t="s">
        <v>350</v>
      </c>
      <c r="B938" s="29"/>
      <c r="C938" s="16"/>
      <c r="E938" s="18" t="s">
        <v>10259</v>
      </c>
      <c r="F938" s="18" t="s">
        <v>6923</v>
      </c>
    </row>
    <row r="939" spans="1:6" ht="20.100000000000001" customHeight="1">
      <c r="A939" s="27" t="s">
        <v>350</v>
      </c>
      <c r="B939" s="29"/>
      <c r="C939" s="16"/>
      <c r="E939" s="18" t="s">
        <v>10260</v>
      </c>
      <c r="F939" s="18" t="s">
        <v>6931</v>
      </c>
    </row>
    <row r="940" spans="1:6" ht="20.100000000000001" customHeight="1">
      <c r="A940" s="27" t="s">
        <v>350</v>
      </c>
      <c r="B940" s="29"/>
      <c r="C940" s="16"/>
      <c r="E940" s="18" t="s">
        <v>10261</v>
      </c>
      <c r="F940" s="18" t="s">
        <v>6939</v>
      </c>
    </row>
    <row r="941" spans="1:6" ht="20.100000000000001" customHeight="1">
      <c r="A941" s="27" t="s">
        <v>350</v>
      </c>
      <c r="B941" s="29"/>
      <c r="C941" s="16"/>
      <c r="E941" s="18" t="s">
        <v>10262</v>
      </c>
      <c r="F941" s="18" t="s">
        <v>6947</v>
      </c>
    </row>
    <row r="942" spans="1:6" ht="20.100000000000001" customHeight="1">
      <c r="A942" s="27" t="s">
        <v>350</v>
      </c>
      <c r="B942" s="29"/>
      <c r="C942" s="16"/>
      <c r="E942" s="18" t="s">
        <v>10263</v>
      </c>
      <c r="F942" s="18" t="s">
        <v>6955</v>
      </c>
    </row>
    <row r="943" spans="1:6" ht="20.100000000000001" customHeight="1">
      <c r="A943" s="27" t="s">
        <v>350</v>
      </c>
      <c r="C943" s="16"/>
      <c r="E943" s="18" t="s">
        <v>10264</v>
      </c>
      <c r="F943" s="18" t="s">
        <v>6963</v>
      </c>
    </row>
    <row r="944" spans="1:6" ht="20.100000000000001" customHeight="1">
      <c r="A944" s="27" t="s">
        <v>350</v>
      </c>
      <c r="C944" s="16"/>
      <c r="E944" s="18" t="s">
        <v>10265</v>
      </c>
      <c r="F944" s="18" t="s">
        <v>6971</v>
      </c>
    </row>
    <row r="945" spans="1:6" ht="20.100000000000001" customHeight="1">
      <c r="A945" s="27" t="s">
        <v>350</v>
      </c>
      <c r="C945" s="16"/>
      <c r="E945" s="18" t="s">
        <v>10266</v>
      </c>
      <c r="F945" s="18" t="s">
        <v>6979</v>
      </c>
    </row>
    <row r="946" spans="1:6" ht="20.100000000000001" customHeight="1">
      <c r="A946" s="27" t="s">
        <v>350</v>
      </c>
      <c r="C946" s="16"/>
      <c r="E946" s="18" t="s">
        <v>10267</v>
      </c>
      <c r="F946" s="18" t="s">
        <v>6987</v>
      </c>
    </row>
    <row r="947" spans="1:6" ht="20.100000000000001" customHeight="1">
      <c r="A947" s="27" t="s">
        <v>350</v>
      </c>
      <c r="C947" s="16"/>
      <c r="E947" s="18" t="s">
        <v>10268</v>
      </c>
      <c r="F947" s="18" t="s">
        <v>6995</v>
      </c>
    </row>
    <row r="948" spans="1:6" ht="20.100000000000001" customHeight="1">
      <c r="A948" s="27" t="s">
        <v>350</v>
      </c>
      <c r="C948" s="16"/>
      <c r="E948" s="18" t="s">
        <v>10269</v>
      </c>
      <c r="F948" s="18" t="s">
        <v>7003</v>
      </c>
    </row>
    <row r="949" spans="1:6" ht="20.100000000000001" customHeight="1">
      <c r="A949" s="27" t="s">
        <v>350</v>
      </c>
      <c r="C949" s="16"/>
      <c r="E949" s="18" t="s">
        <v>10270</v>
      </c>
      <c r="F949" s="18" t="s">
        <v>7011</v>
      </c>
    </row>
    <row r="950" spans="1:6" ht="20.100000000000001" customHeight="1">
      <c r="A950" s="27" t="s">
        <v>350</v>
      </c>
      <c r="C950" s="16"/>
      <c r="E950" s="18" t="s">
        <v>10271</v>
      </c>
      <c r="F950" s="18" t="s">
        <v>7019</v>
      </c>
    </row>
    <row r="951" spans="1:6" ht="20.100000000000001" customHeight="1">
      <c r="A951" s="27" t="s">
        <v>350</v>
      </c>
      <c r="C951" s="16"/>
      <c r="E951" s="18" t="s">
        <v>10272</v>
      </c>
      <c r="F951" s="18" t="s">
        <v>7027</v>
      </c>
    </row>
    <row r="952" spans="1:6" ht="20.100000000000001" customHeight="1">
      <c r="A952" s="27" t="s">
        <v>350</v>
      </c>
      <c r="C952" s="16"/>
      <c r="E952" s="18" t="s">
        <v>10273</v>
      </c>
      <c r="F952" s="18" t="s">
        <v>7035</v>
      </c>
    </row>
    <row r="953" spans="1:6" ht="20.100000000000001" customHeight="1">
      <c r="A953" s="27" t="s">
        <v>350</v>
      </c>
      <c r="C953" s="16"/>
      <c r="E953" s="18" t="s">
        <v>10274</v>
      </c>
      <c r="F953" s="18" t="s">
        <v>7043</v>
      </c>
    </row>
    <row r="954" spans="1:6" ht="20.100000000000001" customHeight="1">
      <c r="A954" s="27" t="s">
        <v>350</v>
      </c>
      <c r="C954" s="16"/>
      <c r="E954" s="18" t="s">
        <v>10275</v>
      </c>
      <c r="F954" s="18" t="s">
        <v>7051</v>
      </c>
    </row>
    <row r="955" spans="1:6" ht="20.100000000000001" customHeight="1">
      <c r="A955" s="27" t="s">
        <v>350</v>
      </c>
      <c r="C955" s="16"/>
      <c r="E955" s="18" t="s">
        <v>4173</v>
      </c>
      <c r="F955" s="18" t="s">
        <v>7058</v>
      </c>
    </row>
    <row r="956" spans="1:6" ht="20.100000000000001" customHeight="1">
      <c r="A956" s="27" t="s">
        <v>350</v>
      </c>
      <c r="C956" s="16"/>
      <c r="E956" s="18" t="s">
        <v>10276</v>
      </c>
      <c r="F956" s="18" t="s">
        <v>7066</v>
      </c>
    </row>
    <row r="957" spans="1:6" ht="20.100000000000001" customHeight="1">
      <c r="A957" s="27" t="s">
        <v>350</v>
      </c>
      <c r="C957" s="16"/>
      <c r="E957" s="18" t="s">
        <v>10277</v>
      </c>
      <c r="F957" s="18" t="s">
        <v>7074</v>
      </c>
    </row>
    <row r="958" spans="1:6" ht="20.100000000000001" customHeight="1">
      <c r="A958" s="27" t="s">
        <v>350</v>
      </c>
      <c r="C958" s="16"/>
      <c r="E958" s="18" t="s">
        <v>10278</v>
      </c>
      <c r="F958" s="18" t="s">
        <v>7082</v>
      </c>
    </row>
    <row r="959" spans="1:6" ht="20.100000000000001" customHeight="1">
      <c r="A959" s="27" t="s">
        <v>350</v>
      </c>
      <c r="C959" s="16"/>
      <c r="E959" s="18" t="s">
        <v>10279</v>
      </c>
      <c r="F959" s="18" t="s">
        <v>7090</v>
      </c>
    </row>
    <row r="960" spans="1:6" ht="20.100000000000001" customHeight="1">
      <c r="A960" s="27" t="s">
        <v>350</v>
      </c>
      <c r="C960" s="16"/>
      <c r="E960" s="18" t="s">
        <v>10280</v>
      </c>
      <c r="F960" s="18" t="s">
        <v>7098</v>
      </c>
    </row>
    <row r="961" spans="1:6" ht="20.100000000000001" customHeight="1">
      <c r="A961" s="27" t="s">
        <v>350</v>
      </c>
      <c r="C961" s="16"/>
      <c r="E961" s="18" t="s">
        <v>10281</v>
      </c>
      <c r="F961" s="18" t="s">
        <v>7106</v>
      </c>
    </row>
    <row r="962" spans="1:6" ht="20.100000000000001" customHeight="1">
      <c r="A962" s="27" t="s">
        <v>350</v>
      </c>
      <c r="C962" s="16"/>
      <c r="E962" s="18" t="s">
        <v>10282</v>
      </c>
      <c r="F962" s="18" t="s">
        <v>7114</v>
      </c>
    </row>
    <row r="963" spans="1:6" ht="20.100000000000001" customHeight="1">
      <c r="A963" s="27" t="s">
        <v>350</v>
      </c>
      <c r="C963" s="16"/>
      <c r="E963" s="18" t="s">
        <v>10283</v>
      </c>
      <c r="F963" s="18" t="s">
        <v>7121</v>
      </c>
    </row>
    <row r="964" spans="1:6" ht="20.100000000000001" customHeight="1">
      <c r="A964" s="27" t="s">
        <v>350</v>
      </c>
      <c r="C964" s="16"/>
      <c r="E964" s="18" t="s">
        <v>10284</v>
      </c>
      <c r="F964" s="18" t="s">
        <v>7129</v>
      </c>
    </row>
    <row r="965" spans="1:6" ht="20.100000000000001" customHeight="1">
      <c r="A965" s="27" t="s">
        <v>350</v>
      </c>
      <c r="C965" s="16"/>
      <c r="E965" s="18" t="s">
        <v>10285</v>
      </c>
      <c r="F965" s="18" t="s">
        <v>7137</v>
      </c>
    </row>
    <row r="966" spans="1:6" ht="20.100000000000001" customHeight="1">
      <c r="A966" s="27" t="s">
        <v>350</v>
      </c>
      <c r="C966" s="16"/>
      <c r="E966" s="18" t="s">
        <v>10286</v>
      </c>
      <c r="F966" s="18" t="s">
        <v>7145</v>
      </c>
    </row>
    <row r="967" spans="1:6" ht="20.100000000000001" customHeight="1">
      <c r="A967" s="27" t="s">
        <v>350</v>
      </c>
      <c r="B967" s="29"/>
      <c r="C967" s="16"/>
      <c r="E967" s="18" t="s">
        <v>10287</v>
      </c>
      <c r="F967" s="18" t="s">
        <v>7153</v>
      </c>
    </row>
    <row r="968" spans="1:6" ht="20.100000000000001" customHeight="1">
      <c r="A968" s="27" t="s">
        <v>350</v>
      </c>
      <c r="B968" s="29"/>
      <c r="C968" s="16"/>
      <c r="E968" s="18" t="s">
        <v>10288</v>
      </c>
      <c r="F968" s="18" t="s">
        <v>7161</v>
      </c>
    </row>
    <row r="969" spans="1:6" ht="20.100000000000001" customHeight="1">
      <c r="A969" s="27" t="s">
        <v>350</v>
      </c>
      <c r="C969" s="16"/>
      <c r="E969" s="18" t="s">
        <v>10289</v>
      </c>
      <c r="F969" s="18" t="s">
        <v>7169</v>
      </c>
    </row>
    <row r="970" spans="1:6" ht="20.100000000000001" customHeight="1">
      <c r="A970" s="27" t="s">
        <v>350</v>
      </c>
      <c r="C970" s="16"/>
      <c r="E970" s="18" t="s">
        <v>10290</v>
      </c>
      <c r="F970" s="18" t="s">
        <v>7177</v>
      </c>
    </row>
    <row r="971" spans="1:6" ht="20.100000000000001" customHeight="1">
      <c r="A971" s="29" t="s">
        <v>350</v>
      </c>
      <c r="C971" s="16"/>
      <c r="E971" s="18" t="s">
        <v>10291</v>
      </c>
      <c r="F971" s="18" t="s">
        <v>7185</v>
      </c>
    </row>
    <row r="972" spans="1:6" ht="20.100000000000001" customHeight="1">
      <c r="A972" s="27" t="s">
        <v>350</v>
      </c>
      <c r="C972" s="16"/>
      <c r="E972" s="18" t="s">
        <v>10292</v>
      </c>
      <c r="F972" s="18" t="s">
        <v>7193</v>
      </c>
    </row>
    <row r="973" spans="1:6" ht="20.100000000000001" customHeight="1">
      <c r="A973" s="27" t="s">
        <v>350</v>
      </c>
      <c r="C973" s="16"/>
      <c r="E973" s="18" t="s">
        <v>10293</v>
      </c>
      <c r="F973" s="18" t="s">
        <v>7201</v>
      </c>
    </row>
    <row r="974" spans="1:6" ht="20.100000000000001" customHeight="1">
      <c r="A974" s="27" t="s">
        <v>350</v>
      </c>
      <c r="C974" s="16"/>
      <c r="E974" s="18" t="s">
        <v>10294</v>
      </c>
      <c r="F974" s="18" t="s">
        <v>7209</v>
      </c>
    </row>
    <row r="975" spans="1:6" ht="20.100000000000001" customHeight="1">
      <c r="A975" s="27" t="s">
        <v>350</v>
      </c>
      <c r="C975" s="16"/>
      <c r="E975" s="18" t="s">
        <v>10295</v>
      </c>
      <c r="F975" s="18" t="s">
        <v>7217</v>
      </c>
    </row>
    <row r="976" spans="1:6" ht="20.100000000000001" customHeight="1">
      <c r="A976" s="27" t="s">
        <v>350</v>
      </c>
      <c r="C976" s="16"/>
      <c r="E976" s="18" t="s">
        <v>10296</v>
      </c>
      <c r="F976" s="18" t="s">
        <v>7225</v>
      </c>
    </row>
    <row r="977" spans="1:6" ht="20.100000000000001" customHeight="1">
      <c r="A977" s="27" t="s">
        <v>350</v>
      </c>
      <c r="C977" s="16"/>
      <c r="E977" s="18" t="s">
        <v>10297</v>
      </c>
      <c r="F977" s="18" t="s">
        <v>7233</v>
      </c>
    </row>
    <row r="978" spans="1:6" ht="20.100000000000001" customHeight="1">
      <c r="A978" s="27" t="s">
        <v>350</v>
      </c>
      <c r="C978" s="16"/>
      <c r="E978" s="18" t="s">
        <v>10298</v>
      </c>
      <c r="F978" s="18" t="s">
        <v>7241</v>
      </c>
    </row>
    <row r="979" spans="1:6" ht="20.100000000000001" customHeight="1">
      <c r="A979" s="27" t="s">
        <v>350</v>
      </c>
      <c r="C979" s="16"/>
      <c r="E979" s="18" t="s">
        <v>10440</v>
      </c>
      <c r="F979" s="18" t="s">
        <v>7249</v>
      </c>
    </row>
    <row r="980" spans="1:6" ht="20.100000000000001" customHeight="1">
      <c r="A980" s="27" t="s">
        <v>350</v>
      </c>
      <c r="B980" s="29"/>
      <c r="C980" s="16"/>
      <c r="E980" s="18" t="s">
        <v>10299</v>
      </c>
      <c r="F980" s="18" t="s">
        <v>7257</v>
      </c>
    </row>
    <row r="981" spans="1:6" ht="20.100000000000001" customHeight="1">
      <c r="A981" s="27" t="s">
        <v>350</v>
      </c>
      <c r="B981" s="29"/>
      <c r="C981" s="16"/>
      <c r="E981" s="18" t="s">
        <v>10300</v>
      </c>
      <c r="F981" s="18" t="s">
        <v>7265</v>
      </c>
    </row>
    <row r="982" spans="1:6" ht="20.100000000000001" customHeight="1">
      <c r="A982" s="27" t="s">
        <v>350</v>
      </c>
      <c r="B982" s="29"/>
      <c r="C982" s="16"/>
      <c r="E982" s="18" t="s">
        <v>10301</v>
      </c>
      <c r="F982" s="18" t="s">
        <v>7273</v>
      </c>
    </row>
    <row r="983" spans="1:6" ht="20.100000000000001" customHeight="1">
      <c r="A983" s="27" t="s">
        <v>350</v>
      </c>
      <c r="B983" s="29"/>
      <c r="C983" s="16"/>
      <c r="E983" s="18" t="s">
        <v>10302</v>
      </c>
      <c r="F983" s="18" t="s">
        <v>7280</v>
      </c>
    </row>
    <row r="984" spans="1:6" ht="20.100000000000001" customHeight="1">
      <c r="A984" s="27" t="s">
        <v>350</v>
      </c>
      <c r="B984" s="29"/>
      <c r="C984" s="16"/>
      <c r="E984" s="18" t="s">
        <v>10303</v>
      </c>
      <c r="F984" s="18" t="s">
        <v>7288</v>
      </c>
    </row>
    <row r="985" spans="1:6" ht="20.100000000000001" customHeight="1">
      <c r="A985" s="27" t="s">
        <v>350</v>
      </c>
      <c r="B985" s="29"/>
      <c r="C985" s="16"/>
      <c r="E985" s="18" t="s">
        <v>10304</v>
      </c>
      <c r="F985" s="18" t="s">
        <v>7296</v>
      </c>
    </row>
    <row r="986" spans="1:6" ht="20.100000000000001" customHeight="1">
      <c r="A986" s="27" t="s">
        <v>350</v>
      </c>
      <c r="B986" s="29"/>
      <c r="C986" s="16"/>
      <c r="E986" s="18" t="s">
        <v>10305</v>
      </c>
      <c r="F986" s="18" t="s">
        <v>7304</v>
      </c>
    </row>
    <row r="987" spans="1:6" ht="20.100000000000001" customHeight="1">
      <c r="A987" s="27" t="s">
        <v>350</v>
      </c>
      <c r="B987" s="29"/>
      <c r="C987" s="16"/>
      <c r="E987" s="18" t="s">
        <v>10306</v>
      </c>
      <c r="F987" s="18" t="s">
        <v>7312</v>
      </c>
    </row>
    <row r="988" spans="1:6" ht="20.100000000000001" customHeight="1">
      <c r="A988" s="27" t="s">
        <v>350</v>
      </c>
      <c r="B988" s="29"/>
      <c r="C988" s="16"/>
      <c r="E988" s="18" t="s">
        <v>10307</v>
      </c>
      <c r="F988" s="18" t="s">
        <v>7326</v>
      </c>
    </row>
    <row r="989" spans="1:6" ht="20.100000000000001" customHeight="1">
      <c r="A989" s="27" t="s">
        <v>350</v>
      </c>
      <c r="B989" s="29"/>
      <c r="C989" s="16"/>
      <c r="E989" s="18" t="s">
        <v>10308</v>
      </c>
      <c r="F989" s="18" t="s">
        <v>7334</v>
      </c>
    </row>
    <row r="990" spans="1:6" ht="20.100000000000001" customHeight="1">
      <c r="A990" s="27" t="s">
        <v>350</v>
      </c>
      <c r="B990" s="29"/>
      <c r="C990" s="16"/>
      <c r="E990" s="18" t="s">
        <v>10309</v>
      </c>
      <c r="F990" s="18" t="s">
        <v>7341</v>
      </c>
    </row>
    <row r="991" spans="1:6" ht="20.100000000000001" customHeight="1">
      <c r="A991" s="27" t="s">
        <v>350</v>
      </c>
      <c r="B991" s="29"/>
      <c r="C991" s="16"/>
      <c r="E991" s="18" t="s">
        <v>10310</v>
      </c>
      <c r="F991" s="18" t="s">
        <v>7349</v>
      </c>
    </row>
    <row r="992" spans="1:6" ht="20.100000000000001" customHeight="1">
      <c r="A992" s="27" t="s">
        <v>350</v>
      </c>
      <c r="C992" s="16"/>
      <c r="E992" s="18" t="s">
        <v>10311</v>
      </c>
      <c r="F992" s="18" t="s">
        <v>7357</v>
      </c>
    </row>
    <row r="993" spans="1:6" ht="20.100000000000001" customHeight="1">
      <c r="A993" s="27" t="s">
        <v>350</v>
      </c>
      <c r="C993" s="16"/>
      <c r="E993" s="18" t="s">
        <v>10312</v>
      </c>
      <c r="F993" s="18" t="s">
        <v>7365</v>
      </c>
    </row>
    <row r="994" spans="1:6" ht="20.100000000000001" customHeight="1">
      <c r="A994" s="27" t="s">
        <v>350</v>
      </c>
      <c r="C994" s="16"/>
      <c r="E994" s="18" t="s">
        <v>10313</v>
      </c>
      <c r="F994" s="18" t="s">
        <v>7373</v>
      </c>
    </row>
    <row r="995" spans="1:6" ht="20.100000000000001" customHeight="1">
      <c r="A995" s="27" t="s">
        <v>350</v>
      </c>
      <c r="C995" s="16"/>
      <c r="E995" s="18" t="s">
        <v>10314</v>
      </c>
      <c r="F995" s="18" t="s">
        <v>7381</v>
      </c>
    </row>
    <row r="996" spans="1:6" ht="20.100000000000001" customHeight="1">
      <c r="A996" s="27" t="s">
        <v>350</v>
      </c>
      <c r="C996" s="16"/>
      <c r="E996" s="18" t="s">
        <v>10315</v>
      </c>
      <c r="F996" s="18" t="s">
        <v>7389</v>
      </c>
    </row>
    <row r="997" spans="1:6" ht="20.100000000000001" customHeight="1">
      <c r="A997" s="27" t="s">
        <v>350</v>
      </c>
      <c r="C997" s="16"/>
      <c r="E997" s="18" t="s">
        <v>10316</v>
      </c>
      <c r="F997" s="18" t="s">
        <v>7397</v>
      </c>
    </row>
    <row r="998" spans="1:6" ht="20.100000000000001" customHeight="1">
      <c r="A998" s="27" t="s">
        <v>350</v>
      </c>
      <c r="C998" s="16"/>
      <c r="E998" s="18" t="s">
        <v>10317</v>
      </c>
      <c r="F998" s="18" t="s">
        <v>7405</v>
      </c>
    </row>
    <row r="999" spans="1:6" ht="20.100000000000001" customHeight="1">
      <c r="A999" s="27" t="s">
        <v>350</v>
      </c>
      <c r="C999" s="16"/>
      <c r="E999" s="18" t="s">
        <v>10318</v>
      </c>
      <c r="F999" s="18" t="s">
        <v>7412</v>
      </c>
    </row>
    <row r="1000" spans="1:6" ht="20.100000000000001" customHeight="1">
      <c r="A1000" s="27" t="s">
        <v>350</v>
      </c>
      <c r="C1000" s="16"/>
      <c r="E1000" s="18" t="s">
        <v>10319</v>
      </c>
      <c r="F1000" s="18" t="s">
        <v>7420</v>
      </c>
    </row>
    <row r="1001" spans="1:6" ht="20.100000000000001" customHeight="1">
      <c r="A1001" s="27" t="s">
        <v>350</v>
      </c>
      <c r="C1001" s="16"/>
      <c r="E1001" s="18" t="s">
        <v>10320</v>
      </c>
      <c r="F1001" s="18" t="s">
        <v>7428</v>
      </c>
    </row>
    <row r="1002" spans="1:6" ht="20.100000000000001" customHeight="1">
      <c r="A1002" s="27" t="s">
        <v>350</v>
      </c>
      <c r="C1002" s="16"/>
      <c r="E1002" s="18" t="s">
        <v>10321</v>
      </c>
      <c r="F1002" s="18" t="s">
        <v>7436</v>
      </c>
    </row>
    <row r="1003" spans="1:6" ht="20.100000000000001" customHeight="1">
      <c r="A1003" s="27" t="s">
        <v>350</v>
      </c>
      <c r="C1003" s="16"/>
      <c r="E1003" s="18" t="s">
        <v>10322</v>
      </c>
      <c r="F1003" s="18" t="s">
        <v>7444</v>
      </c>
    </row>
    <row r="1004" spans="1:6" ht="20.100000000000001" customHeight="1">
      <c r="A1004" s="27" t="s">
        <v>350</v>
      </c>
      <c r="C1004" s="16"/>
      <c r="E1004" s="18" t="s">
        <v>9030</v>
      </c>
      <c r="F1004" s="18" t="s">
        <v>7452</v>
      </c>
    </row>
    <row r="1005" spans="1:6" ht="20.100000000000001" customHeight="1">
      <c r="A1005" s="27" t="s">
        <v>350</v>
      </c>
      <c r="C1005" s="16"/>
      <c r="E1005" s="18" t="s">
        <v>10323</v>
      </c>
      <c r="F1005" s="18" t="s">
        <v>7459</v>
      </c>
    </row>
    <row r="1006" spans="1:6" ht="20.100000000000001" customHeight="1">
      <c r="A1006" s="27" t="s">
        <v>350</v>
      </c>
      <c r="C1006" s="16"/>
      <c r="E1006" s="18" t="s">
        <v>4382</v>
      </c>
      <c r="F1006" s="18" t="s">
        <v>7467</v>
      </c>
    </row>
    <row r="1007" spans="1:6" ht="20.100000000000001" customHeight="1">
      <c r="A1007" s="27" t="s">
        <v>350</v>
      </c>
      <c r="C1007" s="16"/>
      <c r="E1007" s="18" t="s">
        <v>10324</v>
      </c>
      <c r="F1007" s="18" t="s">
        <v>7480</v>
      </c>
    </row>
    <row r="1008" spans="1:6" ht="20.100000000000001" customHeight="1">
      <c r="A1008" s="27" t="s">
        <v>350</v>
      </c>
      <c r="C1008" s="16"/>
      <c r="E1008" s="18" t="s">
        <v>10325</v>
      </c>
      <c r="F1008" s="18" t="s">
        <v>7488</v>
      </c>
    </row>
    <row r="1009" spans="1:6" ht="20.100000000000001" customHeight="1">
      <c r="A1009" s="27" t="s">
        <v>350</v>
      </c>
      <c r="C1009" s="16"/>
      <c r="E1009" s="18" t="s">
        <v>10326</v>
      </c>
      <c r="F1009" s="18" t="s">
        <v>7496</v>
      </c>
    </row>
    <row r="1010" spans="1:6" ht="20.100000000000001" customHeight="1">
      <c r="A1010" s="27" t="s">
        <v>350</v>
      </c>
      <c r="C1010" s="16"/>
      <c r="E1010" s="18" t="s">
        <v>10327</v>
      </c>
      <c r="F1010" s="18" t="s">
        <v>7504</v>
      </c>
    </row>
    <row r="1011" spans="1:6" ht="20.100000000000001" customHeight="1">
      <c r="A1011" s="27" t="s">
        <v>350</v>
      </c>
      <c r="C1011" s="16"/>
      <c r="E1011" s="18" t="s">
        <v>10328</v>
      </c>
      <c r="F1011" s="18" t="s">
        <v>7512</v>
      </c>
    </row>
    <row r="1012" spans="1:6" ht="20.100000000000001" customHeight="1">
      <c r="A1012" s="27" t="s">
        <v>350</v>
      </c>
      <c r="C1012" s="16"/>
      <c r="E1012" s="18" t="s">
        <v>10329</v>
      </c>
      <c r="F1012" s="18" t="s">
        <v>7520</v>
      </c>
    </row>
    <row r="1013" spans="1:6" ht="20.100000000000001" customHeight="1">
      <c r="A1013" s="27" t="s">
        <v>350</v>
      </c>
      <c r="C1013" s="16"/>
      <c r="E1013" s="18" t="s">
        <v>10330</v>
      </c>
      <c r="F1013" s="18" t="s">
        <v>7528</v>
      </c>
    </row>
    <row r="1014" spans="1:6" ht="20.100000000000001" customHeight="1">
      <c r="A1014" s="27" t="s">
        <v>350</v>
      </c>
      <c r="C1014" s="16"/>
      <c r="E1014" s="18" t="s">
        <v>10331</v>
      </c>
      <c r="F1014" s="18" t="s">
        <v>7535</v>
      </c>
    </row>
    <row r="1015" spans="1:6" ht="20.100000000000001" customHeight="1">
      <c r="A1015" s="27" t="s">
        <v>350</v>
      </c>
      <c r="C1015" s="16"/>
      <c r="E1015" s="18" t="s">
        <v>4407</v>
      </c>
      <c r="F1015" s="18" t="s">
        <v>7543</v>
      </c>
    </row>
    <row r="1016" spans="1:6" ht="20.100000000000001" customHeight="1">
      <c r="A1016" s="27" t="s">
        <v>350</v>
      </c>
      <c r="C1016" s="16"/>
      <c r="E1016" s="18" t="s">
        <v>10332</v>
      </c>
      <c r="F1016" s="18" t="s">
        <v>7551</v>
      </c>
    </row>
    <row r="1017" spans="1:6" ht="20.100000000000001" customHeight="1">
      <c r="A1017" s="27" t="s">
        <v>350</v>
      </c>
      <c r="C1017" s="16"/>
      <c r="E1017" s="18" t="s">
        <v>10333</v>
      </c>
      <c r="F1017" s="18" t="s">
        <v>7559</v>
      </c>
    </row>
    <row r="1018" spans="1:6" ht="20.100000000000001" customHeight="1">
      <c r="A1018" s="27" t="s">
        <v>350</v>
      </c>
      <c r="C1018" s="16"/>
      <c r="E1018" s="18" t="s">
        <v>10334</v>
      </c>
      <c r="F1018" s="18" t="s">
        <v>7567</v>
      </c>
    </row>
    <row r="1019" spans="1:6" ht="20.100000000000001" customHeight="1">
      <c r="A1019" s="27" t="s">
        <v>350</v>
      </c>
      <c r="C1019" s="16"/>
      <c r="E1019" s="18" t="s">
        <v>10335</v>
      </c>
      <c r="F1019" s="18" t="s">
        <v>7574</v>
      </c>
    </row>
    <row r="1020" spans="1:6" ht="20.100000000000001" customHeight="1">
      <c r="A1020" s="27" t="s">
        <v>350</v>
      </c>
      <c r="C1020" s="16"/>
      <c r="E1020" s="18" t="s">
        <v>10336</v>
      </c>
      <c r="F1020" s="18" t="s">
        <v>7582</v>
      </c>
    </row>
    <row r="1021" spans="1:6" ht="20.100000000000001" customHeight="1">
      <c r="A1021" s="27" t="s">
        <v>350</v>
      </c>
      <c r="C1021" s="16"/>
      <c r="E1021" s="18" t="s">
        <v>4415</v>
      </c>
      <c r="F1021" s="18" t="s">
        <v>7590</v>
      </c>
    </row>
    <row r="1022" spans="1:6" ht="20.100000000000001" customHeight="1">
      <c r="A1022" s="27" t="s">
        <v>350</v>
      </c>
      <c r="C1022" s="16"/>
      <c r="E1022" s="18" t="s">
        <v>4526</v>
      </c>
      <c r="F1022" s="18" t="s">
        <v>7598</v>
      </c>
    </row>
    <row r="1023" spans="1:6" ht="20.100000000000001" customHeight="1">
      <c r="A1023" s="27" t="s">
        <v>350</v>
      </c>
      <c r="C1023" s="16"/>
      <c r="E1023" s="18" t="s">
        <v>4628</v>
      </c>
      <c r="F1023" s="18" t="s">
        <v>7606</v>
      </c>
    </row>
    <row r="1024" spans="1:6" ht="20.100000000000001" customHeight="1">
      <c r="A1024" s="27" t="s">
        <v>350</v>
      </c>
      <c r="C1024" s="16"/>
      <c r="E1024" s="18" t="s">
        <v>10337</v>
      </c>
      <c r="F1024" s="18" t="s">
        <v>7614</v>
      </c>
    </row>
    <row r="1025" spans="1:6" ht="20.100000000000001" customHeight="1">
      <c r="A1025" s="27" t="s">
        <v>350</v>
      </c>
      <c r="B1025" s="29"/>
      <c r="C1025" s="16"/>
      <c r="E1025" s="18" t="s">
        <v>10338</v>
      </c>
      <c r="F1025" s="18" t="s">
        <v>7622</v>
      </c>
    </row>
    <row r="1026" spans="1:6" ht="20.100000000000001" customHeight="1">
      <c r="A1026" s="27" t="s">
        <v>350</v>
      </c>
      <c r="C1026" s="16"/>
      <c r="E1026" s="18" t="s">
        <v>10339</v>
      </c>
      <c r="F1026" s="18" t="s">
        <v>7630</v>
      </c>
    </row>
    <row r="1027" spans="1:6" ht="20.100000000000001" customHeight="1">
      <c r="A1027" s="27" t="s">
        <v>350</v>
      </c>
      <c r="B1027" s="29"/>
      <c r="C1027" s="16"/>
      <c r="E1027" s="18" t="s">
        <v>4736</v>
      </c>
      <c r="F1027" s="18" t="s">
        <v>7638</v>
      </c>
    </row>
    <row r="1028" spans="1:6" ht="20.100000000000001" customHeight="1">
      <c r="A1028" s="27" t="s">
        <v>350</v>
      </c>
      <c r="B1028" s="29"/>
      <c r="C1028" s="16"/>
      <c r="E1028" s="18" t="s">
        <v>10340</v>
      </c>
      <c r="F1028" s="18" t="s">
        <v>7646</v>
      </c>
    </row>
    <row r="1029" spans="1:6" ht="20.100000000000001" customHeight="1">
      <c r="A1029" s="29" t="s">
        <v>350</v>
      </c>
      <c r="B1029" s="29"/>
      <c r="C1029" s="16"/>
      <c r="E1029" s="18" t="s">
        <v>10341</v>
      </c>
      <c r="F1029" s="18" t="s">
        <v>7654</v>
      </c>
    </row>
    <row r="1030" spans="1:6" ht="20.100000000000001" customHeight="1">
      <c r="A1030" s="27" t="s">
        <v>350</v>
      </c>
      <c r="B1030" s="29"/>
      <c r="C1030" s="16"/>
      <c r="E1030" s="18" t="s">
        <v>10342</v>
      </c>
      <c r="F1030" s="18" t="s">
        <v>7662</v>
      </c>
    </row>
    <row r="1031" spans="1:6" ht="20.100000000000001" customHeight="1">
      <c r="A1031" s="27" t="s">
        <v>350</v>
      </c>
      <c r="C1031" s="16"/>
      <c r="E1031" s="18" t="s">
        <v>4745</v>
      </c>
      <c r="F1031" s="18" t="s">
        <v>7669</v>
      </c>
    </row>
    <row r="1032" spans="1:6" ht="20.100000000000001" customHeight="1">
      <c r="A1032" s="27" t="s">
        <v>350</v>
      </c>
      <c r="C1032" s="16"/>
      <c r="E1032" s="18" t="s">
        <v>4750</v>
      </c>
      <c r="F1032" s="18" t="s">
        <v>7677</v>
      </c>
    </row>
    <row r="1033" spans="1:6" ht="20.100000000000001" customHeight="1">
      <c r="A1033" s="27" t="s">
        <v>350</v>
      </c>
      <c r="C1033" s="16"/>
      <c r="E1033" s="18" t="s">
        <v>4754</v>
      </c>
      <c r="F1033" s="18" t="s">
        <v>7685</v>
      </c>
    </row>
    <row r="1034" spans="1:6" ht="20.100000000000001" customHeight="1">
      <c r="A1034" s="27" t="s">
        <v>350</v>
      </c>
      <c r="C1034" s="16"/>
      <c r="E1034" s="18" t="s">
        <v>4758</v>
      </c>
      <c r="F1034" s="18" t="s">
        <v>7692</v>
      </c>
    </row>
    <row r="1035" spans="1:6" ht="20.100000000000001" customHeight="1">
      <c r="A1035" s="27" t="s">
        <v>350</v>
      </c>
      <c r="C1035" s="16"/>
      <c r="E1035" s="18" t="s">
        <v>10343</v>
      </c>
      <c r="F1035" s="18" t="s">
        <v>7700</v>
      </c>
    </row>
    <row r="1036" spans="1:6" ht="20.100000000000001" customHeight="1">
      <c r="A1036" s="27" t="s">
        <v>350</v>
      </c>
      <c r="C1036" s="16"/>
      <c r="E1036" s="18" t="s">
        <v>4770</v>
      </c>
      <c r="F1036" s="18" t="s">
        <v>7708</v>
      </c>
    </row>
    <row r="1037" spans="1:6" ht="20.100000000000001" customHeight="1">
      <c r="A1037" s="27" t="s">
        <v>350</v>
      </c>
      <c r="B1037" s="29"/>
      <c r="C1037" s="16"/>
      <c r="E1037" s="18" t="s">
        <v>4775</v>
      </c>
      <c r="F1037" s="18" t="s">
        <v>7716</v>
      </c>
    </row>
    <row r="1038" spans="1:6" ht="20.100000000000001" customHeight="1">
      <c r="A1038" s="27" t="s">
        <v>350</v>
      </c>
      <c r="C1038" s="16"/>
      <c r="E1038" s="18" t="s">
        <v>4778</v>
      </c>
      <c r="F1038" s="18" t="s">
        <v>7724</v>
      </c>
    </row>
    <row r="1039" spans="1:6" ht="20.100000000000001" customHeight="1">
      <c r="A1039" s="27" t="s">
        <v>350</v>
      </c>
      <c r="C1039" s="16"/>
      <c r="E1039" s="18" t="s">
        <v>10344</v>
      </c>
      <c r="F1039" s="18" t="s">
        <v>7732</v>
      </c>
    </row>
    <row r="1040" spans="1:6" ht="20.100000000000001" customHeight="1">
      <c r="A1040" s="27" t="s">
        <v>350</v>
      </c>
      <c r="C1040" s="16"/>
      <c r="E1040" s="18" t="s">
        <v>10345</v>
      </c>
      <c r="F1040" s="18" t="s">
        <v>7740</v>
      </c>
    </row>
    <row r="1041" spans="1:6" ht="20.100000000000001" customHeight="1">
      <c r="A1041" s="27" t="s">
        <v>350</v>
      </c>
      <c r="C1041" s="16"/>
      <c r="E1041" s="18" t="s">
        <v>4785</v>
      </c>
      <c r="F1041" s="18" t="s">
        <v>7748</v>
      </c>
    </row>
    <row r="1042" spans="1:6" ht="20.100000000000001" customHeight="1">
      <c r="A1042" s="27" t="s">
        <v>350</v>
      </c>
      <c r="C1042" s="16"/>
      <c r="E1042" s="18" t="s">
        <v>10346</v>
      </c>
      <c r="F1042" s="18" t="s">
        <v>7756</v>
      </c>
    </row>
    <row r="1043" spans="1:6" ht="20.100000000000001" customHeight="1">
      <c r="A1043" s="27" t="s">
        <v>350</v>
      </c>
      <c r="C1043" s="16"/>
      <c r="E1043" s="18" t="s">
        <v>4789</v>
      </c>
      <c r="F1043" s="18" t="s">
        <v>7764</v>
      </c>
    </row>
    <row r="1044" spans="1:6" ht="20.100000000000001" customHeight="1">
      <c r="A1044" s="27" t="s">
        <v>350</v>
      </c>
      <c r="C1044" s="16"/>
      <c r="E1044" s="18" t="s">
        <v>4793</v>
      </c>
      <c r="F1044" s="18" t="s">
        <v>7772</v>
      </c>
    </row>
    <row r="1045" spans="1:6" ht="20.100000000000001" customHeight="1">
      <c r="A1045" s="27" t="s">
        <v>350</v>
      </c>
      <c r="B1045" s="29"/>
      <c r="C1045" s="16"/>
      <c r="E1045" s="18" t="s">
        <v>10347</v>
      </c>
      <c r="F1045" s="18" t="s">
        <v>7780</v>
      </c>
    </row>
    <row r="1046" spans="1:6" ht="20.100000000000001" customHeight="1">
      <c r="A1046" s="27" t="s">
        <v>350</v>
      </c>
      <c r="B1046" s="29"/>
      <c r="C1046" s="16"/>
      <c r="E1046" s="18" t="s">
        <v>4803</v>
      </c>
      <c r="F1046" s="18" t="s">
        <v>7788</v>
      </c>
    </row>
    <row r="1047" spans="1:6" ht="20.100000000000001" customHeight="1">
      <c r="A1047" s="27" t="s">
        <v>350</v>
      </c>
      <c r="B1047" s="29"/>
      <c r="C1047" s="16"/>
      <c r="E1047" s="18" t="s">
        <v>4808</v>
      </c>
      <c r="F1047" s="18" t="s">
        <v>7795</v>
      </c>
    </row>
    <row r="1048" spans="1:6" ht="20.100000000000001" customHeight="1">
      <c r="A1048" s="29" t="s">
        <v>350</v>
      </c>
      <c r="B1048" s="29"/>
      <c r="C1048" s="16"/>
      <c r="E1048" s="18" t="s">
        <v>10348</v>
      </c>
      <c r="F1048" s="18" t="s">
        <v>7803</v>
      </c>
    </row>
    <row r="1049" spans="1:6" ht="20.100000000000001" customHeight="1">
      <c r="A1049" s="29" t="s">
        <v>350</v>
      </c>
      <c r="C1049" s="16"/>
      <c r="E1049" s="18" t="s">
        <v>4813</v>
      </c>
      <c r="F1049" s="18" t="s">
        <v>7811</v>
      </c>
    </row>
    <row r="1050" spans="1:6" ht="20.100000000000001" customHeight="1">
      <c r="A1050" s="27" t="s">
        <v>350</v>
      </c>
      <c r="C1050" s="16"/>
      <c r="E1050" s="18" t="s">
        <v>10349</v>
      </c>
      <c r="F1050" s="18" t="s">
        <v>7819</v>
      </c>
    </row>
    <row r="1051" spans="1:6" ht="20.100000000000001" customHeight="1">
      <c r="A1051" s="28" t="s">
        <v>350</v>
      </c>
      <c r="C1051" s="16"/>
      <c r="E1051" s="18" t="s">
        <v>4820</v>
      </c>
      <c r="F1051" s="18" t="s">
        <v>7827</v>
      </c>
    </row>
    <row r="1052" spans="1:6" ht="20.100000000000001" customHeight="1">
      <c r="A1052" s="28" t="s">
        <v>350</v>
      </c>
      <c r="C1052" s="16"/>
      <c r="E1052" s="18" t="s">
        <v>4825</v>
      </c>
      <c r="F1052" s="18" t="s">
        <v>7835</v>
      </c>
    </row>
    <row r="1053" spans="1:6" ht="20.100000000000001" customHeight="1">
      <c r="A1053" s="28" t="s">
        <v>350</v>
      </c>
      <c r="C1053" s="16"/>
      <c r="E1053" s="18" t="s">
        <v>4830</v>
      </c>
      <c r="F1053" s="18" t="s">
        <v>7843</v>
      </c>
    </row>
    <row r="1054" spans="1:6" ht="20.100000000000001" customHeight="1">
      <c r="A1054" s="28" t="s">
        <v>350</v>
      </c>
      <c r="C1054" s="16"/>
      <c r="E1054" s="18" t="s">
        <v>10350</v>
      </c>
      <c r="F1054" s="18" t="s">
        <v>7851</v>
      </c>
    </row>
    <row r="1055" spans="1:6" ht="20.100000000000001" customHeight="1">
      <c r="A1055" s="28" t="s">
        <v>350</v>
      </c>
      <c r="C1055" s="16"/>
      <c r="E1055" s="18" t="s">
        <v>4837</v>
      </c>
      <c r="F1055" s="18" t="s">
        <v>7859</v>
      </c>
    </row>
    <row r="1056" spans="1:6" ht="20.100000000000001" customHeight="1">
      <c r="A1056" s="28" t="s">
        <v>350</v>
      </c>
      <c r="C1056" s="16"/>
      <c r="E1056" s="18" t="s">
        <v>4842</v>
      </c>
      <c r="F1056" s="18" t="s">
        <v>7867</v>
      </c>
    </row>
    <row r="1057" spans="1:6" ht="20.100000000000001" customHeight="1">
      <c r="A1057" s="27" t="s">
        <v>350</v>
      </c>
      <c r="C1057" s="16"/>
      <c r="E1057" s="18" t="s">
        <v>4846</v>
      </c>
      <c r="F1057" s="18" t="s">
        <v>7875</v>
      </c>
    </row>
    <row r="1058" spans="1:6" ht="20.100000000000001" customHeight="1">
      <c r="A1058" s="27" t="s">
        <v>350</v>
      </c>
      <c r="C1058" s="16"/>
      <c r="E1058" s="18" t="s">
        <v>4850</v>
      </c>
      <c r="F1058" s="18" t="s">
        <v>7883</v>
      </c>
    </row>
    <row r="1059" spans="1:6" ht="20.100000000000001" customHeight="1">
      <c r="A1059" s="28" t="s">
        <v>350</v>
      </c>
      <c r="C1059" s="16"/>
      <c r="E1059" s="18" t="s">
        <v>4855</v>
      </c>
      <c r="F1059" s="18" t="s">
        <v>7891</v>
      </c>
    </row>
    <row r="1060" spans="1:6" ht="20.100000000000001" customHeight="1">
      <c r="A1060" s="16" t="s">
        <v>350</v>
      </c>
      <c r="C1060" s="16"/>
      <c r="E1060" s="18" t="s">
        <v>4859</v>
      </c>
      <c r="F1060" s="18" t="s">
        <v>10455</v>
      </c>
    </row>
    <row r="1061" spans="1:6" ht="20.100000000000001" customHeight="1">
      <c r="A1061" s="18" t="s">
        <v>350</v>
      </c>
      <c r="C1061" s="16"/>
      <c r="E1061" s="18" t="s">
        <v>10351</v>
      </c>
      <c r="F1061" s="18" t="s">
        <v>7899</v>
      </c>
    </row>
    <row r="1062" spans="1:6" ht="20.100000000000001" customHeight="1">
      <c r="A1062" s="16" t="s">
        <v>350</v>
      </c>
      <c r="C1062" s="16"/>
      <c r="E1062" s="18" t="s">
        <v>4863</v>
      </c>
      <c r="F1062" s="18" t="s">
        <v>7907</v>
      </c>
    </row>
    <row r="1063" spans="1:6" ht="20.100000000000001" customHeight="1">
      <c r="A1063" s="16" t="s">
        <v>350</v>
      </c>
      <c r="C1063" s="16"/>
      <c r="E1063" s="18" t="s">
        <v>10352</v>
      </c>
      <c r="F1063" s="18" t="s">
        <v>7915</v>
      </c>
    </row>
    <row r="1064" spans="1:6" ht="20.100000000000001" customHeight="1">
      <c r="A1064" s="18" t="s">
        <v>350</v>
      </c>
      <c r="C1064" s="16"/>
      <c r="E1064" s="18" t="s">
        <v>4874</v>
      </c>
      <c r="F1064" s="18" t="s">
        <v>7923</v>
      </c>
    </row>
    <row r="1065" spans="1:6" ht="20.100000000000001" customHeight="1">
      <c r="A1065" s="16" t="s">
        <v>350</v>
      </c>
      <c r="C1065" s="16"/>
      <c r="E1065" s="18" t="s">
        <v>10353</v>
      </c>
      <c r="F1065" s="18" t="s">
        <v>7931</v>
      </c>
    </row>
    <row r="1066" spans="1:6" ht="20.100000000000001" customHeight="1">
      <c r="A1066" s="18" t="s">
        <v>350</v>
      </c>
      <c r="C1066" s="16"/>
      <c r="E1066" s="18" t="s">
        <v>10354</v>
      </c>
      <c r="F1066" s="18" t="s">
        <v>7939</v>
      </c>
    </row>
    <row r="1067" spans="1:6" ht="20.100000000000001" customHeight="1">
      <c r="A1067" s="18" t="s">
        <v>350</v>
      </c>
      <c r="C1067" s="16"/>
      <c r="E1067" s="18" t="s">
        <v>10355</v>
      </c>
      <c r="F1067" s="18" t="s">
        <v>7947</v>
      </c>
    </row>
    <row r="1068" spans="1:6" ht="20.100000000000001" customHeight="1">
      <c r="A1068" s="18" t="s">
        <v>350</v>
      </c>
      <c r="C1068" s="16"/>
      <c r="E1068" s="18" t="s">
        <v>10356</v>
      </c>
      <c r="F1068" s="18" t="s">
        <v>7955</v>
      </c>
    </row>
    <row r="1069" spans="1:6" ht="20.100000000000001" customHeight="1">
      <c r="A1069" s="18" t="s">
        <v>350</v>
      </c>
      <c r="C1069" s="16"/>
      <c r="E1069" s="18" t="s">
        <v>10357</v>
      </c>
      <c r="F1069" s="18" t="s">
        <v>7963</v>
      </c>
    </row>
    <row r="1070" spans="1:6" ht="20.100000000000001" customHeight="1">
      <c r="A1070" s="16" t="s">
        <v>350</v>
      </c>
      <c r="C1070" s="16"/>
      <c r="E1070" s="18" t="s">
        <v>10358</v>
      </c>
      <c r="F1070" s="18" t="s">
        <v>7971</v>
      </c>
    </row>
    <row r="1071" spans="1:6" ht="20.100000000000001" customHeight="1">
      <c r="A1071" s="16" t="s">
        <v>350</v>
      </c>
      <c r="C1071" s="16"/>
      <c r="E1071" s="18" t="s">
        <v>10359</v>
      </c>
      <c r="F1071" s="18" t="s">
        <v>7979</v>
      </c>
    </row>
    <row r="1072" spans="1:6" ht="20.100000000000001" customHeight="1">
      <c r="A1072" s="18" t="s">
        <v>350</v>
      </c>
      <c r="C1072" s="16"/>
      <c r="E1072" s="18" t="s">
        <v>10360</v>
      </c>
      <c r="F1072" s="18" t="s">
        <v>7987</v>
      </c>
    </row>
    <row r="1073" spans="1:6" ht="20.100000000000001" customHeight="1">
      <c r="A1073" s="18" t="s">
        <v>350</v>
      </c>
      <c r="C1073" s="16"/>
      <c r="E1073" s="18" t="s">
        <v>10361</v>
      </c>
      <c r="F1073" s="18" t="s">
        <v>7994</v>
      </c>
    </row>
    <row r="1074" spans="1:6" ht="20.100000000000001" customHeight="1">
      <c r="A1074" s="18" t="s">
        <v>350</v>
      </c>
      <c r="C1074" s="16"/>
      <c r="E1074" s="18" t="s">
        <v>10362</v>
      </c>
      <c r="F1074" s="18" t="s">
        <v>8002</v>
      </c>
    </row>
    <row r="1075" spans="1:6" ht="20.100000000000001" customHeight="1">
      <c r="A1075" s="18" t="s">
        <v>350</v>
      </c>
      <c r="C1075" s="16"/>
      <c r="E1075" s="18" t="s">
        <v>10363</v>
      </c>
      <c r="F1075" s="18" t="s">
        <v>8010</v>
      </c>
    </row>
    <row r="1076" spans="1:6" ht="20.100000000000001" customHeight="1">
      <c r="A1076" s="18" t="s">
        <v>350</v>
      </c>
      <c r="C1076" s="16"/>
      <c r="E1076" s="18" t="s">
        <v>10364</v>
      </c>
      <c r="F1076" s="18" t="s">
        <v>8018</v>
      </c>
    </row>
    <row r="1077" spans="1:6" ht="20.100000000000001" customHeight="1">
      <c r="A1077" s="18" t="s">
        <v>350</v>
      </c>
      <c r="C1077" s="16"/>
      <c r="E1077" s="18" t="s">
        <v>10365</v>
      </c>
      <c r="F1077" s="18" t="s">
        <v>8026</v>
      </c>
    </row>
    <row r="1078" spans="1:6" ht="20.100000000000001" customHeight="1">
      <c r="A1078" s="18" t="s">
        <v>350</v>
      </c>
      <c r="C1078" s="16"/>
      <c r="E1078" s="18" t="s">
        <v>10366</v>
      </c>
      <c r="F1078" s="18" t="s">
        <v>8034</v>
      </c>
    </row>
    <row r="1079" spans="1:6" ht="20.100000000000001" customHeight="1">
      <c r="A1079" s="16" t="s">
        <v>350</v>
      </c>
      <c r="C1079" s="16"/>
      <c r="E1079" s="18" t="s">
        <v>10367</v>
      </c>
      <c r="F1079" s="18" t="s">
        <v>8041</v>
      </c>
    </row>
    <row r="1080" spans="1:6" ht="20.100000000000001" customHeight="1">
      <c r="A1080" s="18" t="s">
        <v>350</v>
      </c>
      <c r="C1080" s="16"/>
      <c r="E1080" s="18" t="s">
        <v>10368</v>
      </c>
      <c r="F1080" s="18" t="s">
        <v>8049</v>
      </c>
    </row>
    <row r="1081" spans="1:6" ht="20.100000000000001" customHeight="1">
      <c r="A1081" s="18" t="s">
        <v>350</v>
      </c>
      <c r="C1081" s="16"/>
      <c r="E1081" s="18" t="s">
        <v>4900</v>
      </c>
      <c r="F1081" s="18" t="s">
        <v>8057</v>
      </c>
    </row>
    <row r="1082" spans="1:6" ht="20.100000000000001" customHeight="1">
      <c r="A1082" s="18" t="s">
        <v>350</v>
      </c>
      <c r="C1082" s="16"/>
      <c r="E1082" s="18" t="s">
        <v>10369</v>
      </c>
      <c r="F1082" s="18" t="s">
        <v>8065</v>
      </c>
    </row>
    <row r="1083" spans="1:6" ht="20.100000000000001" customHeight="1">
      <c r="A1083" s="18" t="s">
        <v>350</v>
      </c>
      <c r="C1083" s="16"/>
      <c r="E1083" s="18" t="s">
        <v>10370</v>
      </c>
      <c r="F1083" s="18" t="s">
        <v>8073</v>
      </c>
    </row>
    <row r="1084" spans="1:6" ht="20.100000000000001" customHeight="1">
      <c r="A1084" s="18" t="s">
        <v>350</v>
      </c>
      <c r="C1084" s="16"/>
      <c r="E1084" s="18" t="s">
        <v>10371</v>
      </c>
      <c r="F1084" s="18" t="s">
        <v>8081</v>
      </c>
    </row>
    <row r="1085" spans="1:6" ht="20.100000000000001" customHeight="1">
      <c r="A1085" s="18" t="s">
        <v>350</v>
      </c>
      <c r="C1085" s="16"/>
      <c r="E1085" s="18" t="s">
        <v>10372</v>
      </c>
      <c r="F1085" s="18" t="s">
        <v>8089</v>
      </c>
    </row>
    <row r="1086" spans="1:6" ht="20.100000000000001" customHeight="1">
      <c r="A1086" s="18" t="s">
        <v>350</v>
      </c>
      <c r="C1086" s="16"/>
      <c r="E1086" s="18" t="s">
        <v>10373</v>
      </c>
      <c r="F1086" s="18" t="s">
        <v>8096</v>
      </c>
    </row>
    <row r="1087" spans="1:6" ht="20.100000000000001" customHeight="1">
      <c r="A1087" s="18" t="s">
        <v>350</v>
      </c>
      <c r="C1087" s="16"/>
      <c r="E1087" s="18" t="s">
        <v>10374</v>
      </c>
      <c r="F1087" s="18" t="s">
        <v>8104</v>
      </c>
    </row>
    <row r="1088" spans="1:6" ht="20.100000000000001" customHeight="1">
      <c r="A1088" s="18" t="s">
        <v>350</v>
      </c>
      <c r="C1088" s="16"/>
      <c r="E1088" s="18" t="s">
        <v>10375</v>
      </c>
      <c r="F1088" s="18" t="s">
        <v>8112</v>
      </c>
    </row>
    <row r="1089" spans="1:6" ht="20.100000000000001" customHeight="1">
      <c r="A1089" s="18" t="s">
        <v>350</v>
      </c>
      <c r="C1089" s="16"/>
      <c r="E1089" s="18" t="s">
        <v>10376</v>
      </c>
      <c r="F1089" s="18" t="s">
        <v>8120</v>
      </c>
    </row>
    <row r="1090" spans="1:6" ht="20.100000000000001" customHeight="1">
      <c r="A1090" s="18" t="s">
        <v>350</v>
      </c>
      <c r="C1090" s="16"/>
      <c r="E1090" s="18" t="s">
        <v>10377</v>
      </c>
      <c r="F1090" s="18" t="s">
        <v>8128</v>
      </c>
    </row>
    <row r="1091" spans="1:6" ht="20.100000000000001" customHeight="1">
      <c r="A1091" s="18" t="s">
        <v>350</v>
      </c>
      <c r="C1091" s="16"/>
      <c r="E1091" s="18" t="s">
        <v>10378</v>
      </c>
      <c r="F1091" s="18" t="s">
        <v>8141</v>
      </c>
    </row>
    <row r="1092" spans="1:6" ht="20.100000000000001" customHeight="1">
      <c r="A1092" s="27" t="s">
        <v>350</v>
      </c>
      <c r="C1092" s="16"/>
      <c r="E1092" s="18" t="s">
        <v>10379</v>
      </c>
      <c r="F1092" s="18" t="s">
        <v>8145</v>
      </c>
    </row>
    <row r="1093" spans="1:6" ht="20.100000000000001" customHeight="1">
      <c r="A1093" s="27" t="s">
        <v>350</v>
      </c>
      <c r="C1093" s="16"/>
      <c r="E1093" s="18" t="s">
        <v>10380</v>
      </c>
      <c r="F1093" s="18" t="s">
        <v>8150</v>
      </c>
    </row>
    <row r="1094" spans="1:6" ht="20.100000000000001" customHeight="1">
      <c r="A1094" s="27" t="s">
        <v>350</v>
      </c>
      <c r="C1094" s="16"/>
      <c r="E1094" s="18" t="s">
        <v>10381</v>
      </c>
      <c r="F1094" s="18" t="s">
        <v>8158</v>
      </c>
    </row>
    <row r="1095" spans="1:6" ht="20.100000000000001" customHeight="1">
      <c r="A1095" s="27" t="s">
        <v>350</v>
      </c>
      <c r="C1095" s="16"/>
      <c r="E1095" s="18" t="s">
        <v>10382</v>
      </c>
      <c r="F1095" s="18" t="s">
        <v>8166</v>
      </c>
    </row>
    <row r="1096" spans="1:6" ht="20.100000000000001" customHeight="1">
      <c r="A1096" s="27" t="s">
        <v>350</v>
      </c>
      <c r="C1096" s="16"/>
      <c r="E1096" s="18" t="s">
        <v>10383</v>
      </c>
      <c r="F1096" s="18" t="s">
        <v>8174</v>
      </c>
    </row>
    <row r="1097" spans="1:6" ht="20.100000000000001" customHeight="1">
      <c r="A1097" s="27" t="s">
        <v>350</v>
      </c>
      <c r="C1097" s="16"/>
      <c r="E1097" s="18" t="s">
        <v>10384</v>
      </c>
      <c r="F1097" s="18" t="s">
        <v>8182</v>
      </c>
    </row>
    <row r="1098" spans="1:6" ht="20.100000000000001" customHeight="1">
      <c r="A1098" s="27" t="s">
        <v>350</v>
      </c>
      <c r="C1098" s="16"/>
      <c r="E1098" s="18" t="s">
        <v>10385</v>
      </c>
      <c r="F1098" s="18" t="s">
        <v>8190</v>
      </c>
    </row>
    <row r="1099" spans="1:6" ht="20.100000000000001" customHeight="1">
      <c r="A1099" s="27" t="s">
        <v>350</v>
      </c>
      <c r="C1099" s="16"/>
      <c r="E1099" s="18" t="s">
        <v>10386</v>
      </c>
      <c r="F1099" s="18" t="s">
        <v>8198</v>
      </c>
    </row>
    <row r="1100" spans="1:6" ht="20.100000000000001" customHeight="1">
      <c r="A1100" s="27" t="s">
        <v>350</v>
      </c>
      <c r="C1100" s="16"/>
      <c r="E1100" s="18" t="s">
        <v>10387</v>
      </c>
      <c r="F1100" s="18" t="s">
        <v>8206</v>
      </c>
    </row>
    <row r="1101" spans="1:6" ht="20.100000000000001" customHeight="1">
      <c r="A1101" s="27" t="s">
        <v>350</v>
      </c>
      <c r="C1101" s="16"/>
      <c r="E1101" s="18" t="s">
        <v>10388</v>
      </c>
      <c r="F1101" s="18" t="s">
        <v>8213</v>
      </c>
    </row>
    <row r="1102" spans="1:6" ht="20.100000000000001" customHeight="1">
      <c r="A1102" s="27" t="s">
        <v>350</v>
      </c>
      <c r="C1102" s="16"/>
      <c r="E1102" s="18" t="s">
        <v>8559</v>
      </c>
      <c r="F1102" s="18" t="s">
        <v>8221</v>
      </c>
    </row>
    <row r="1103" spans="1:6" ht="20.100000000000001" customHeight="1">
      <c r="A1103" s="27" t="s">
        <v>350</v>
      </c>
      <c r="C1103" s="16"/>
      <c r="E1103" s="18" t="s">
        <v>10389</v>
      </c>
      <c r="F1103" s="18" t="s">
        <v>8229</v>
      </c>
    </row>
    <row r="1104" spans="1:6" ht="20.100000000000001" customHeight="1">
      <c r="A1104" s="27" t="s">
        <v>350</v>
      </c>
      <c r="C1104" s="16"/>
      <c r="E1104" s="18" t="s">
        <v>10390</v>
      </c>
      <c r="F1104" s="18" t="s">
        <v>8236</v>
      </c>
    </row>
    <row r="1105" spans="1:6" ht="20.100000000000001" customHeight="1">
      <c r="A1105" s="27" t="s">
        <v>350</v>
      </c>
      <c r="C1105" s="16"/>
      <c r="E1105" s="18" t="s">
        <v>10391</v>
      </c>
      <c r="F1105" s="18" t="s">
        <v>8244</v>
      </c>
    </row>
    <row r="1106" spans="1:6" ht="20.100000000000001" customHeight="1">
      <c r="A1106" s="27" t="s">
        <v>350</v>
      </c>
      <c r="C1106" s="16"/>
      <c r="E1106" s="18" t="s">
        <v>10392</v>
      </c>
      <c r="F1106" s="18" t="s">
        <v>8252</v>
      </c>
    </row>
    <row r="1107" spans="1:6" ht="20.100000000000001" customHeight="1">
      <c r="A1107" s="27" t="s">
        <v>350</v>
      </c>
      <c r="C1107" s="16"/>
      <c r="E1107" s="18" t="s">
        <v>10393</v>
      </c>
      <c r="F1107" s="18" t="s">
        <v>8260</v>
      </c>
    </row>
    <row r="1108" spans="1:6" ht="20.100000000000001" customHeight="1">
      <c r="A1108" s="27" t="s">
        <v>350</v>
      </c>
      <c r="C1108" s="16"/>
      <c r="E1108" s="18" t="s">
        <v>10394</v>
      </c>
      <c r="F1108" s="18" t="s">
        <v>8274</v>
      </c>
    </row>
    <row r="1109" spans="1:6" ht="20.100000000000001" customHeight="1">
      <c r="A1109" s="27" t="s">
        <v>350</v>
      </c>
      <c r="C1109" s="16"/>
      <c r="E1109" s="18" t="s">
        <v>10395</v>
      </c>
      <c r="F1109" s="18" t="s">
        <v>8282</v>
      </c>
    </row>
    <row r="1110" spans="1:6" ht="20.100000000000001" customHeight="1">
      <c r="A1110" s="27" t="s">
        <v>350</v>
      </c>
      <c r="C1110" s="16"/>
      <c r="E1110" s="18" t="s">
        <v>10396</v>
      </c>
      <c r="F1110" s="18" t="s">
        <v>8290</v>
      </c>
    </row>
    <row r="1111" spans="1:6" ht="20.100000000000001" customHeight="1">
      <c r="A1111" s="27" t="s">
        <v>350</v>
      </c>
      <c r="C1111" s="16"/>
      <c r="E1111" s="18" t="s">
        <v>10397</v>
      </c>
      <c r="F1111" s="18" t="s">
        <v>8298</v>
      </c>
    </row>
    <row r="1112" spans="1:6" ht="20.100000000000001" customHeight="1">
      <c r="A1112" s="27" t="s">
        <v>350</v>
      </c>
      <c r="C1112" s="16"/>
      <c r="E1112" s="18" t="s">
        <v>10398</v>
      </c>
      <c r="F1112" s="18" t="s">
        <v>8306</v>
      </c>
    </row>
    <row r="1113" spans="1:6" ht="20.100000000000001" customHeight="1">
      <c r="A1113" s="27" t="s">
        <v>350</v>
      </c>
      <c r="C1113" s="16"/>
      <c r="E1113" s="18" t="s">
        <v>10399</v>
      </c>
      <c r="F1113" s="18" t="s">
        <v>8314</v>
      </c>
    </row>
    <row r="1114" spans="1:6" ht="20.100000000000001" customHeight="1">
      <c r="A1114" s="27" t="s">
        <v>350</v>
      </c>
      <c r="C1114" s="16"/>
      <c r="E1114" s="18" t="s">
        <v>10400</v>
      </c>
      <c r="F1114" s="18" t="s">
        <v>8322</v>
      </c>
    </row>
    <row r="1115" spans="1:6" ht="20.100000000000001" customHeight="1">
      <c r="A1115" s="27" t="s">
        <v>350</v>
      </c>
      <c r="C1115" s="16"/>
      <c r="E1115" s="18" t="s">
        <v>8573</v>
      </c>
      <c r="F1115" s="18" t="s">
        <v>8330</v>
      </c>
    </row>
    <row r="1116" spans="1:6" ht="20.100000000000001" customHeight="1">
      <c r="A1116" s="27" t="s">
        <v>350</v>
      </c>
      <c r="C1116" s="16"/>
      <c r="E1116" s="18" t="s">
        <v>10401</v>
      </c>
      <c r="F1116" s="18" t="s">
        <v>8338</v>
      </c>
    </row>
    <row r="1117" spans="1:6" ht="20.100000000000001" customHeight="1">
      <c r="A1117" s="27" t="s">
        <v>350</v>
      </c>
      <c r="C1117" s="16"/>
      <c r="E1117" s="18" t="s">
        <v>10402</v>
      </c>
      <c r="F1117" s="18" t="s">
        <v>8346</v>
      </c>
    </row>
    <row r="1118" spans="1:6" ht="20.100000000000001" customHeight="1">
      <c r="A1118" s="27" t="s">
        <v>350</v>
      </c>
      <c r="C1118" s="16"/>
      <c r="E1118" s="18" t="s">
        <v>10403</v>
      </c>
      <c r="F1118" s="18" t="s">
        <v>8354</v>
      </c>
    </row>
    <row r="1119" spans="1:6" ht="20.100000000000001" customHeight="1">
      <c r="A1119" s="27" t="s">
        <v>350</v>
      </c>
      <c r="C1119" s="16"/>
      <c r="E1119" s="18" t="s">
        <v>10404</v>
      </c>
      <c r="F1119" s="18" t="s">
        <v>8362</v>
      </c>
    </row>
    <row r="1120" spans="1:6" ht="20.100000000000001" customHeight="1">
      <c r="A1120" s="27" t="s">
        <v>350</v>
      </c>
      <c r="C1120" s="16"/>
      <c r="E1120" s="18" t="s">
        <v>10405</v>
      </c>
      <c r="F1120" s="18" t="s">
        <v>8370</v>
      </c>
    </row>
    <row r="1121" spans="1:6" ht="20.100000000000001" customHeight="1">
      <c r="A1121" s="27" t="s">
        <v>350</v>
      </c>
      <c r="C1121" s="16"/>
      <c r="E1121" s="18" t="s">
        <v>10406</v>
      </c>
      <c r="F1121" s="18" t="s">
        <v>8378</v>
      </c>
    </row>
    <row r="1122" spans="1:6" ht="20.100000000000001" customHeight="1">
      <c r="A1122" s="27" t="s">
        <v>350</v>
      </c>
      <c r="C1122" s="16"/>
      <c r="E1122" s="18" t="s">
        <v>10407</v>
      </c>
      <c r="F1122" s="18" t="s">
        <v>8386</v>
      </c>
    </row>
    <row r="1123" spans="1:6" ht="20.100000000000001" customHeight="1">
      <c r="A1123" s="27" t="s">
        <v>350</v>
      </c>
      <c r="C1123" s="16"/>
      <c r="E1123" s="18" t="s">
        <v>10408</v>
      </c>
      <c r="F1123" s="18" t="s">
        <v>8394</v>
      </c>
    </row>
    <row r="1124" spans="1:6" ht="20.100000000000001" customHeight="1">
      <c r="A1124" s="27" t="s">
        <v>350</v>
      </c>
      <c r="C1124" s="16"/>
      <c r="E1124" s="18" t="s">
        <v>10409</v>
      </c>
      <c r="F1124" s="18" t="s">
        <v>8402</v>
      </c>
    </row>
    <row r="1125" spans="1:6" ht="20.100000000000001" customHeight="1">
      <c r="A1125" s="27" t="s">
        <v>350</v>
      </c>
      <c r="C1125" s="16"/>
      <c r="F1125" s="18" t="s">
        <v>8410</v>
      </c>
    </row>
    <row r="1126" spans="1:6" ht="20.100000000000001" customHeight="1">
      <c r="A1126" s="27" t="s">
        <v>350</v>
      </c>
      <c r="C1126" s="16"/>
      <c r="F1126" s="18" t="s">
        <v>8418</v>
      </c>
    </row>
    <row r="1127" spans="1:6" ht="20.100000000000001" customHeight="1">
      <c r="A1127" s="27" t="s">
        <v>350</v>
      </c>
      <c r="C1127" s="16"/>
      <c r="F1127" s="18" t="s">
        <v>8432</v>
      </c>
    </row>
    <row r="1128" spans="1:6" ht="20.100000000000001" customHeight="1">
      <c r="A1128" s="27" t="s">
        <v>350</v>
      </c>
      <c r="C1128" s="16"/>
      <c r="E1128" s="18"/>
      <c r="F1128" s="18" t="s">
        <v>8440</v>
      </c>
    </row>
    <row r="1129" spans="1:6" ht="20.100000000000001" customHeight="1">
      <c r="A1129" s="27" t="s">
        <v>350</v>
      </c>
      <c r="C1129" s="16"/>
      <c r="E1129" s="18"/>
      <c r="F1129" s="18" t="s">
        <v>8448</v>
      </c>
    </row>
    <row r="1130" spans="1:6" ht="20.100000000000001" customHeight="1">
      <c r="A1130" s="27" t="s">
        <v>350</v>
      </c>
      <c r="C1130" s="16"/>
      <c r="E1130" s="18"/>
      <c r="F1130" s="18" t="s">
        <v>8456</v>
      </c>
    </row>
    <row r="1131" spans="1:6" ht="20.100000000000001" customHeight="1">
      <c r="A1131" s="27" t="s">
        <v>350</v>
      </c>
      <c r="C1131" s="16"/>
      <c r="E1131" s="18"/>
      <c r="F1131" s="18" t="s">
        <v>8464</v>
      </c>
    </row>
    <row r="1132" spans="1:6" ht="20.100000000000001" customHeight="1">
      <c r="A1132" s="27" t="s">
        <v>350</v>
      </c>
      <c r="C1132" s="16"/>
      <c r="E1132" s="18"/>
      <c r="F1132" s="18" t="s">
        <v>8469</v>
      </c>
    </row>
    <row r="1133" spans="1:6" ht="20.100000000000001" customHeight="1">
      <c r="A1133" s="27" t="s">
        <v>350</v>
      </c>
      <c r="C1133" s="16"/>
      <c r="E1133" s="18"/>
      <c r="F1133" s="18" t="s">
        <v>8556</v>
      </c>
    </row>
    <row r="1134" spans="1:6" ht="20.100000000000001" customHeight="1">
      <c r="A1134" s="27" t="s">
        <v>350</v>
      </c>
      <c r="C1134" s="16"/>
      <c r="E1134" s="18"/>
      <c r="F1134" s="18" t="s">
        <v>8559</v>
      </c>
    </row>
    <row r="1135" spans="1:6" ht="20.100000000000001" customHeight="1">
      <c r="A1135" s="27" t="s">
        <v>350</v>
      </c>
      <c r="C1135" s="16"/>
      <c r="E1135" s="18"/>
      <c r="F1135" s="18" t="s">
        <v>8562</v>
      </c>
    </row>
    <row r="1136" spans="1:6" ht="20.100000000000001" customHeight="1">
      <c r="A1136" s="27" t="s">
        <v>350</v>
      </c>
      <c r="C1136" s="16"/>
      <c r="E1136" s="18"/>
      <c r="F1136" s="18" t="s">
        <v>8566</v>
      </c>
    </row>
    <row r="1137" spans="1:6" ht="20.100000000000001" customHeight="1">
      <c r="A1137" s="27" t="s">
        <v>350</v>
      </c>
      <c r="C1137" s="16"/>
      <c r="E1137" s="18"/>
      <c r="F1137" s="18" t="s">
        <v>8569</v>
      </c>
    </row>
    <row r="1138" spans="1:6" ht="20.100000000000001" customHeight="1">
      <c r="A1138" s="27" t="s">
        <v>350</v>
      </c>
      <c r="C1138" s="16"/>
      <c r="E1138" s="18"/>
      <c r="F1138" s="18" t="s">
        <v>8573</v>
      </c>
    </row>
    <row r="1139" spans="1:6" ht="20.100000000000001" customHeight="1">
      <c r="A1139" s="27" t="s">
        <v>350</v>
      </c>
      <c r="C1139" s="16"/>
      <c r="E1139" s="18"/>
      <c r="F1139" s="18" t="s">
        <v>8664</v>
      </c>
    </row>
    <row r="1140" spans="1:6" ht="20.100000000000001" customHeight="1">
      <c r="A1140" s="27" t="s">
        <v>350</v>
      </c>
      <c r="C1140" s="16"/>
      <c r="E1140" s="18"/>
      <c r="F1140" s="18" t="s">
        <v>8668</v>
      </c>
    </row>
    <row r="1141" spans="1:6" ht="20.100000000000001" customHeight="1">
      <c r="A1141" s="27" t="s">
        <v>350</v>
      </c>
      <c r="C1141" s="16"/>
      <c r="E1141" s="18"/>
      <c r="F1141" s="18" t="s">
        <v>8672</v>
      </c>
    </row>
    <row r="1142" spans="1:6" ht="20.100000000000001" customHeight="1">
      <c r="A1142" s="27" t="s">
        <v>350</v>
      </c>
      <c r="C1142" s="16"/>
      <c r="E1142" s="18"/>
      <c r="F1142" s="18" t="s">
        <v>8676</v>
      </c>
    </row>
    <row r="1143" spans="1:6" ht="20.100000000000001" customHeight="1">
      <c r="A1143" s="27" t="s">
        <v>350</v>
      </c>
      <c r="C1143" s="16"/>
      <c r="E1143" s="18"/>
      <c r="F1143" s="18" t="s">
        <v>8680</v>
      </c>
    </row>
    <row r="1144" spans="1:6" ht="20.100000000000001" customHeight="1">
      <c r="A1144" s="27" t="s">
        <v>350</v>
      </c>
      <c r="C1144" s="16"/>
      <c r="E1144" s="18"/>
      <c r="F1144" s="18" t="s">
        <v>8687</v>
      </c>
    </row>
    <row r="1145" spans="1:6" ht="20.100000000000001" customHeight="1">
      <c r="A1145" s="27" t="s">
        <v>350</v>
      </c>
      <c r="C1145" s="16"/>
      <c r="E1145" s="18"/>
      <c r="F1145" s="18" t="s">
        <v>8693</v>
      </c>
    </row>
    <row r="1146" spans="1:6" ht="20.100000000000001" customHeight="1">
      <c r="A1146" s="27" t="s">
        <v>350</v>
      </c>
      <c r="C1146" s="16"/>
      <c r="E1146" s="18"/>
      <c r="F1146" s="18" t="s">
        <v>8699</v>
      </c>
    </row>
    <row r="1147" spans="1:6" ht="20.100000000000001" customHeight="1">
      <c r="A1147" s="27" t="s">
        <v>350</v>
      </c>
      <c r="C1147" s="16"/>
      <c r="E1147" s="18"/>
      <c r="F1147" s="18" t="s">
        <v>8705</v>
      </c>
    </row>
    <row r="1148" spans="1:6" ht="20.100000000000001" customHeight="1">
      <c r="A1148" s="27" t="s">
        <v>350</v>
      </c>
      <c r="C1148" s="16"/>
      <c r="E1148" s="18"/>
      <c r="F1148" s="18" t="s">
        <v>8711</v>
      </c>
    </row>
    <row r="1149" spans="1:6" ht="20.100000000000001" customHeight="1">
      <c r="A1149" s="27" t="s">
        <v>350</v>
      </c>
      <c r="C1149" s="16"/>
      <c r="E1149" s="18"/>
      <c r="F1149" s="18" t="s">
        <v>8717</v>
      </c>
    </row>
    <row r="1150" spans="1:6" ht="20.100000000000001" customHeight="1">
      <c r="A1150" s="27" t="s">
        <v>350</v>
      </c>
      <c r="C1150" s="16"/>
      <c r="E1150" s="18"/>
      <c r="F1150" s="18" t="s">
        <v>8722</v>
      </c>
    </row>
    <row r="1151" spans="1:6" ht="20.100000000000001" customHeight="1">
      <c r="A1151" s="27" t="s">
        <v>350</v>
      </c>
      <c r="C1151" s="16"/>
      <c r="E1151" s="18"/>
      <c r="F1151" s="18" t="s">
        <v>8728</v>
      </c>
    </row>
    <row r="1152" spans="1:6" ht="20.100000000000001" customHeight="1">
      <c r="A1152" s="27" t="s">
        <v>350</v>
      </c>
      <c r="C1152" s="16"/>
      <c r="E1152" s="18"/>
      <c r="F1152" s="18" t="s">
        <v>8733</v>
      </c>
    </row>
    <row r="1153" spans="1:6" ht="20.100000000000001" customHeight="1">
      <c r="A1153" s="27" t="s">
        <v>350</v>
      </c>
      <c r="C1153" s="16"/>
      <c r="E1153" s="18"/>
      <c r="F1153" s="18" t="s">
        <v>8739</v>
      </c>
    </row>
    <row r="1154" spans="1:6" ht="20.100000000000001" customHeight="1">
      <c r="A1154" s="27" t="s">
        <v>350</v>
      </c>
      <c r="C1154" s="16"/>
      <c r="E1154" s="18"/>
      <c r="F1154" s="18" t="s">
        <v>8745</v>
      </c>
    </row>
    <row r="1155" spans="1:6" ht="20.100000000000001" customHeight="1">
      <c r="A1155" s="27" t="s">
        <v>350</v>
      </c>
      <c r="C1155" s="16"/>
      <c r="E1155" s="18"/>
      <c r="F1155" s="18" t="s">
        <v>8751</v>
      </c>
    </row>
    <row r="1156" spans="1:6" ht="20.100000000000001" customHeight="1">
      <c r="A1156" s="27" t="s">
        <v>350</v>
      </c>
      <c r="C1156" s="16"/>
      <c r="E1156" s="18"/>
      <c r="F1156" s="18" t="s">
        <v>8757</v>
      </c>
    </row>
    <row r="1157" spans="1:6" ht="20.100000000000001" customHeight="1">
      <c r="A1157" s="27" t="s">
        <v>350</v>
      </c>
      <c r="C1157" s="16"/>
      <c r="E1157" s="18"/>
      <c r="F1157" s="18" t="s">
        <v>8763</v>
      </c>
    </row>
    <row r="1158" spans="1:6" ht="20.100000000000001" customHeight="1">
      <c r="A1158" s="27" t="s">
        <v>350</v>
      </c>
      <c r="C1158" s="16"/>
      <c r="F1158" s="18" t="s">
        <v>8769</v>
      </c>
    </row>
    <row r="1159" spans="1:6" ht="20.100000000000001" customHeight="1">
      <c r="A1159" s="27" t="s">
        <v>350</v>
      </c>
      <c r="C1159" s="16"/>
      <c r="F1159" s="18" t="s">
        <v>8774</v>
      </c>
    </row>
    <row r="1160" spans="1:6" ht="20.100000000000001" customHeight="1">
      <c r="A1160" s="27" t="s">
        <v>350</v>
      </c>
      <c r="C1160" s="16"/>
      <c r="F1160" s="18" t="s">
        <v>8779</v>
      </c>
    </row>
    <row r="1161" spans="1:6" ht="20.100000000000001" customHeight="1">
      <c r="A1161" s="27" t="s">
        <v>350</v>
      </c>
      <c r="C1161" s="16"/>
      <c r="F1161" s="18" t="s">
        <v>8785</v>
      </c>
    </row>
    <row r="1162" spans="1:6" ht="20.100000000000001" customHeight="1">
      <c r="C1162" s="16"/>
      <c r="F1162" s="18" t="s">
        <v>8791</v>
      </c>
    </row>
    <row r="1163" spans="1:6" ht="20.100000000000001" customHeight="1">
      <c r="C1163" s="16"/>
      <c r="F1163" s="18" t="s">
        <v>8796</v>
      </c>
    </row>
    <row r="1164" spans="1:6" ht="20.100000000000001" customHeight="1">
      <c r="C1164" s="16"/>
      <c r="F1164" s="18" t="s">
        <v>8802</v>
      </c>
    </row>
    <row r="1165" spans="1:6" ht="20.100000000000001" customHeight="1">
      <c r="C1165" s="16"/>
      <c r="F1165" s="18" t="s">
        <v>8808</v>
      </c>
    </row>
    <row r="1166" spans="1:6" ht="20.100000000000001" customHeight="1">
      <c r="C1166" s="16"/>
      <c r="F1166" s="18" t="s">
        <v>8814</v>
      </c>
    </row>
    <row r="1167" spans="1:6" ht="20.100000000000001" customHeight="1">
      <c r="C1167" s="16"/>
      <c r="F1167" s="18" t="s">
        <v>8820</v>
      </c>
    </row>
    <row r="1168" spans="1:6" ht="20.100000000000001" customHeight="1">
      <c r="C1168" s="16"/>
      <c r="F1168" s="18" t="s">
        <v>8825</v>
      </c>
    </row>
    <row r="1169" spans="3:6" ht="20.100000000000001" customHeight="1">
      <c r="C1169" s="16"/>
      <c r="F1169" s="18" t="s">
        <v>8833</v>
      </c>
    </row>
    <row r="1170" spans="3:6" ht="20.100000000000001" customHeight="1">
      <c r="C1170" s="16"/>
      <c r="F1170" s="18" t="s">
        <v>8839</v>
      </c>
    </row>
    <row r="1171" spans="3:6" ht="20.100000000000001" customHeight="1">
      <c r="C1171" s="16"/>
      <c r="F1171" s="18" t="s">
        <v>8845</v>
      </c>
    </row>
    <row r="1172" spans="3:6" ht="20.100000000000001" customHeight="1">
      <c r="C1172" s="16"/>
      <c r="F1172" s="18" t="s">
        <v>8851</v>
      </c>
    </row>
    <row r="1173" spans="3:6" ht="20.100000000000001" customHeight="1">
      <c r="C1173" s="16"/>
      <c r="F1173" s="18" t="s">
        <v>8857</v>
      </c>
    </row>
    <row r="1174" spans="3:6" ht="20.100000000000001" customHeight="1">
      <c r="C1174" s="16"/>
      <c r="F1174" s="18" t="s">
        <v>8863</v>
      </c>
    </row>
    <row r="1175" spans="3:6" ht="20.100000000000001" customHeight="1">
      <c r="C1175" s="16"/>
      <c r="F1175" s="18" t="s">
        <v>8870</v>
      </c>
    </row>
    <row r="1176" spans="3:6" ht="20.100000000000001" customHeight="1">
      <c r="C1176" s="16"/>
      <c r="F1176" s="18"/>
    </row>
    <row r="1177" spans="3:6" ht="20.100000000000001" customHeight="1">
      <c r="C1177" s="16"/>
      <c r="F1177" s="18"/>
    </row>
    <row r="1178" spans="3:6" ht="20.100000000000001" customHeight="1">
      <c r="C1178" s="16"/>
      <c r="F1178" s="18"/>
    </row>
    <row r="1179" spans="3:6" ht="20.100000000000001" customHeight="1">
      <c r="C1179" s="16"/>
      <c r="F1179" s="18"/>
    </row>
    <row r="1180" spans="3:6" ht="20.100000000000001" customHeight="1">
      <c r="C1180" s="16"/>
      <c r="F1180" s="18"/>
    </row>
    <row r="1181" spans="3:6" ht="20.100000000000001" customHeight="1">
      <c r="C1181" s="16"/>
      <c r="F1181" s="18"/>
    </row>
    <row r="1182" spans="3:6" ht="20.100000000000001" customHeight="1">
      <c r="C1182" s="16"/>
      <c r="F1182" s="18"/>
    </row>
    <row r="1183" spans="3:6" ht="20.100000000000001" customHeight="1">
      <c r="C1183" s="16"/>
      <c r="F1183" s="18"/>
    </row>
    <row r="1184" spans="3:6" ht="20.100000000000001" customHeight="1">
      <c r="C1184" s="16"/>
      <c r="F1184" s="18"/>
    </row>
    <row r="1185" spans="3:6" ht="20.100000000000001" customHeight="1">
      <c r="C1185" s="16"/>
      <c r="F1185" s="18"/>
    </row>
    <row r="1186" spans="3:6" ht="20.100000000000001" customHeight="1">
      <c r="C1186" s="16"/>
      <c r="F1186" s="18"/>
    </row>
    <row r="1187" spans="3:6" ht="20.100000000000001" customHeight="1">
      <c r="C1187" s="16"/>
      <c r="F1187" s="18"/>
    </row>
    <row r="1188" spans="3:6" ht="20.100000000000001" customHeight="1">
      <c r="C1188" s="16"/>
      <c r="F1188" s="18"/>
    </row>
    <row r="1189" spans="3:6" ht="20.100000000000001" customHeight="1">
      <c r="C1189" s="16"/>
      <c r="F1189" s="18"/>
    </row>
    <row r="1190" spans="3:6" ht="20.100000000000001" customHeight="1">
      <c r="C1190" s="16"/>
      <c r="F1190" s="18"/>
    </row>
    <row r="1191" spans="3:6" ht="20.100000000000001" customHeight="1">
      <c r="C1191" s="16"/>
      <c r="F1191" s="18"/>
    </row>
    <row r="1192" spans="3:6" ht="20.100000000000001" customHeight="1">
      <c r="C1192" s="16"/>
      <c r="F1192" s="18"/>
    </row>
    <row r="1193" spans="3:6" ht="20.100000000000001" customHeight="1">
      <c r="C1193" s="16"/>
      <c r="F1193" s="18"/>
    </row>
    <row r="1194" spans="3:6" ht="20.100000000000001" customHeight="1">
      <c r="C1194" s="16"/>
      <c r="F1194" s="18"/>
    </row>
    <row r="1195" spans="3:6" ht="20.100000000000001" customHeight="1">
      <c r="C1195" s="16"/>
      <c r="F1195" s="18"/>
    </row>
    <row r="1196" spans="3:6" ht="20.100000000000001" customHeight="1">
      <c r="C1196" s="16"/>
      <c r="F1196" s="18"/>
    </row>
    <row r="1197" spans="3:6" ht="20.100000000000001" customHeight="1">
      <c r="C1197" s="16"/>
      <c r="F1197" s="18"/>
    </row>
    <row r="1198" spans="3:6" ht="20.100000000000001" customHeight="1">
      <c r="C1198" s="16"/>
      <c r="F1198" s="18"/>
    </row>
    <row r="1199" spans="3:6" ht="20.100000000000001" customHeight="1">
      <c r="C1199" s="16"/>
      <c r="F1199" s="18"/>
    </row>
    <row r="1200" spans="3:6" ht="20.100000000000001" customHeight="1">
      <c r="C1200" s="16"/>
      <c r="F1200" s="18"/>
    </row>
    <row r="1201" spans="3:6" ht="20.100000000000001" customHeight="1">
      <c r="C1201" s="16"/>
      <c r="F1201" s="18"/>
    </row>
    <row r="1202" spans="3:6" ht="20.100000000000001" customHeight="1">
      <c r="C1202" s="16"/>
      <c r="F1202" s="18"/>
    </row>
    <row r="1203" spans="3:6" ht="20.100000000000001" customHeight="1">
      <c r="C1203" s="16"/>
      <c r="F1203" s="18"/>
    </row>
    <row r="1204" spans="3:6" ht="20.100000000000001" customHeight="1">
      <c r="C1204" s="16"/>
      <c r="F1204" s="18"/>
    </row>
    <row r="1205" spans="3:6" ht="20.100000000000001" customHeight="1">
      <c r="C1205" s="16"/>
      <c r="F1205" s="18"/>
    </row>
    <row r="1206" spans="3:6" ht="20.100000000000001" customHeight="1">
      <c r="C1206" s="16"/>
      <c r="F1206" s="18"/>
    </row>
    <row r="1207" spans="3:6" ht="20.100000000000001" customHeight="1">
      <c r="C1207" s="16"/>
      <c r="F1207" s="18"/>
    </row>
    <row r="1208" spans="3:6" ht="20.100000000000001" customHeight="1">
      <c r="C1208" s="16"/>
      <c r="F1208" s="18"/>
    </row>
    <row r="1209" spans="3:6" ht="20.100000000000001" customHeight="1">
      <c r="C1209" s="16"/>
      <c r="F1209" s="18"/>
    </row>
    <row r="1210" spans="3:6" ht="20.100000000000001" customHeight="1">
      <c r="C1210" s="16"/>
      <c r="F1210" s="18"/>
    </row>
    <row r="1211" spans="3:6" ht="20.100000000000001" customHeight="1">
      <c r="C1211" s="16"/>
      <c r="F1211" s="18"/>
    </row>
    <row r="1212" spans="3:6" ht="20.100000000000001" customHeight="1">
      <c r="C1212" s="16"/>
      <c r="F1212" s="18"/>
    </row>
    <row r="1213" spans="3:6" ht="20.100000000000001" customHeight="1">
      <c r="C1213" s="16"/>
      <c r="F1213" s="18"/>
    </row>
    <row r="1214" spans="3:6" ht="20.100000000000001" customHeight="1">
      <c r="C1214" s="16"/>
      <c r="F1214" s="18"/>
    </row>
    <row r="1215" spans="3:6" ht="20.100000000000001" customHeight="1">
      <c r="C1215" s="16"/>
      <c r="F1215" s="18"/>
    </row>
    <row r="1216" spans="3:6" ht="20.100000000000001" customHeight="1">
      <c r="C1216" s="16"/>
      <c r="F1216" s="18"/>
    </row>
    <row r="1217" spans="3:6" ht="20.100000000000001" customHeight="1">
      <c r="C1217" s="16"/>
      <c r="F1217" s="18"/>
    </row>
    <row r="1218" spans="3:6" ht="20.100000000000001" customHeight="1">
      <c r="C1218" s="16"/>
      <c r="F1218" s="18"/>
    </row>
    <row r="1219" spans="3:6" ht="20.100000000000001" customHeight="1">
      <c r="C1219" s="16"/>
      <c r="F1219" s="18"/>
    </row>
    <row r="1220" spans="3:6" ht="20.100000000000001" customHeight="1">
      <c r="C1220" s="16"/>
      <c r="F1220" s="18"/>
    </row>
    <row r="1221" spans="3:6" ht="20.100000000000001" customHeight="1">
      <c r="C1221" s="16"/>
      <c r="F1221" s="18"/>
    </row>
    <row r="1222" spans="3:6" ht="20.100000000000001" customHeight="1">
      <c r="C1222" s="16"/>
      <c r="F1222" s="18"/>
    </row>
    <row r="1223" spans="3:6" ht="20.100000000000001" customHeight="1">
      <c r="C1223" s="16"/>
      <c r="F1223" s="18"/>
    </row>
    <row r="1224" spans="3:6" ht="20.100000000000001" customHeight="1">
      <c r="C1224" s="16"/>
      <c r="F1224" s="18"/>
    </row>
    <row r="1225" spans="3:6" ht="20.100000000000001" customHeight="1">
      <c r="C1225" s="16"/>
      <c r="F1225" s="18"/>
    </row>
    <row r="1226" spans="3:6" ht="20.100000000000001" customHeight="1">
      <c r="C1226" s="16"/>
      <c r="F1226" s="18"/>
    </row>
    <row r="1227" spans="3:6" ht="20.100000000000001" customHeight="1">
      <c r="C1227" s="16"/>
      <c r="F1227" s="18"/>
    </row>
    <row r="1228" spans="3:6" ht="20.100000000000001" customHeight="1">
      <c r="C1228" s="16"/>
      <c r="F1228" s="18"/>
    </row>
    <row r="1229" spans="3:6" ht="20.100000000000001" customHeight="1">
      <c r="C1229" s="16"/>
      <c r="F1229" s="18"/>
    </row>
    <row r="1230" spans="3:6" ht="20.100000000000001" customHeight="1">
      <c r="C1230" s="16"/>
      <c r="F1230" s="18"/>
    </row>
    <row r="1231" spans="3:6" ht="20.100000000000001" customHeight="1">
      <c r="C1231" s="16"/>
      <c r="F1231" s="18"/>
    </row>
    <row r="1232" spans="3:6" ht="20.100000000000001" customHeight="1">
      <c r="C1232" s="16"/>
      <c r="F1232" s="18"/>
    </row>
    <row r="1233" spans="3:6" ht="20.100000000000001" customHeight="1">
      <c r="C1233" s="16"/>
      <c r="F1233" s="18"/>
    </row>
    <row r="1234" spans="3:6" ht="20.100000000000001" customHeight="1">
      <c r="C1234" s="16"/>
      <c r="F1234" s="18"/>
    </row>
    <row r="1235" spans="3:6" ht="20.100000000000001" customHeight="1">
      <c r="C1235" s="16"/>
      <c r="F1235" s="18"/>
    </row>
    <row r="1236" spans="3:6" ht="20.100000000000001" customHeight="1">
      <c r="C1236" s="16"/>
      <c r="F1236" s="18"/>
    </row>
    <row r="1237" spans="3:6" ht="20.100000000000001" customHeight="1">
      <c r="C1237" s="16"/>
      <c r="F1237" s="18"/>
    </row>
    <row r="1238" spans="3:6" ht="20.100000000000001" customHeight="1">
      <c r="C1238" s="16"/>
      <c r="F1238" s="18"/>
    </row>
    <row r="1239" spans="3:6" ht="20.100000000000001" customHeight="1">
      <c r="C1239" s="16"/>
      <c r="F1239" s="18"/>
    </row>
    <row r="1240" spans="3:6" ht="20.100000000000001" customHeight="1">
      <c r="C1240" s="16"/>
      <c r="F1240" s="18"/>
    </row>
    <row r="1241" spans="3:6" ht="20.100000000000001" customHeight="1">
      <c r="C1241" s="16"/>
      <c r="F1241" s="18"/>
    </row>
    <row r="1242" spans="3:6" ht="20.100000000000001" customHeight="1">
      <c r="C1242" s="16"/>
      <c r="F1242" s="18"/>
    </row>
    <row r="1243" spans="3:6" ht="20.100000000000001" customHeight="1">
      <c r="C1243" s="16"/>
      <c r="F1243" s="18"/>
    </row>
    <row r="1244" spans="3:6" ht="20.100000000000001" customHeight="1">
      <c r="C1244" s="16"/>
      <c r="F1244" s="18"/>
    </row>
    <row r="1245" spans="3:6" ht="20.100000000000001" customHeight="1">
      <c r="C1245" s="16"/>
      <c r="F1245" s="18"/>
    </row>
    <row r="1246" spans="3:6" ht="20.100000000000001" customHeight="1">
      <c r="C1246" s="16"/>
      <c r="F1246" s="18"/>
    </row>
    <row r="1247" spans="3:6" ht="20.100000000000001" customHeight="1">
      <c r="C1247" s="16"/>
      <c r="F1247" s="18"/>
    </row>
    <row r="1248" spans="3:6" ht="20.100000000000001" customHeight="1">
      <c r="C1248" s="16"/>
      <c r="F1248" s="18"/>
    </row>
    <row r="1249" spans="3:6" ht="20.100000000000001" customHeight="1">
      <c r="C1249" s="16"/>
      <c r="F1249" s="18"/>
    </row>
    <row r="1250" spans="3:6" ht="20.100000000000001" customHeight="1">
      <c r="C1250" s="16"/>
      <c r="F1250" s="18"/>
    </row>
    <row r="1251" spans="3:6" ht="20.100000000000001" customHeight="1">
      <c r="C1251" s="16"/>
      <c r="F1251" s="18"/>
    </row>
    <row r="1252" spans="3:6" ht="20.100000000000001" customHeight="1">
      <c r="C1252" s="16"/>
      <c r="F1252" s="18"/>
    </row>
    <row r="1253" spans="3:6" ht="20.100000000000001" customHeight="1">
      <c r="C1253" s="16"/>
      <c r="F1253" s="18"/>
    </row>
    <row r="1254" spans="3:6" ht="20.100000000000001" customHeight="1">
      <c r="C1254" s="16"/>
      <c r="F1254" s="18"/>
    </row>
    <row r="1255" spans="3:6" ht="20.100000000000001" customHeight="1">
      <c r="C1255" s="16"/>
      <c r="F1255" s="18"/>
    </row>
    <row r="1256" spans="3:6" ht="20.100000000000001" customHeight="1">
      <c r="C1256" s="16"/>
      <c r="F1256" s="18"/>
    </row>
    <row r="1257" spans="3:6" ht="20.100000000000001" customHeight="1">
      <c r="C1257" s="16"/>
      <c r="F1257" s="18"/>
    </row>
    <row r="1258" spans="3:6" ht="20.100000000000001" customHeight="1">
      <c r="C1258" s="16"/>
      <c r="F1258" s="18"/>
    </row>
    <row r="1259" spans="3:6" ht="20.100000000000001" customHeight="1">
      <c r="C1259" s="16"/>
      <c r="F1259" s="18"/>
    </row>
    <row r="1260" spans="3:6" ht="20.100000000000001" customHeight="1">
      <c r="C1260" s="16"/>
      <c r="F1260" s="18"/>
    </row>
    <row r="1261" spans="3:6" ht="20.100000000000001" customHeight="1">
      <c r="C1261" s="16"/>
      <c r="F1261" s="18"/>
    </row>
    <row r="1262" spans="3:6" ht="20.100000000000001" customHeight="1">
      <c r="C1262" s="16"/>
      <c r="F1262" s="18"/>
    </row>
    <row r="1263" spans="3:6" ht="20.100000000000001" customHeight="1">
      <c r="C1263" s="16"/>
      <c r="F1263" s="18"/>
    </row>
    <row r="1264" spans="3:6" ht="20.100000000000001" customHeight="1">
      <c r="C1264" s="16"/>
      <c r="F1264" s="18"/>
    </row>
    <row r="1265" spans="3:6" ht="20.100000000000001" customHeight="1">
      <c r="C1265" s="16"/>
      <c r="F1265" s="18"/>
    </row>
    <row r="1266" spans="3:6" ht="20.100000000000001" customHeight="1">
      <c r="C1266" s="16"/>
      <c r="F1266" s="18"/>
    </row>
    <row r="1267" spans="3:6" ht="20.100000000000001" customHeight="1">
      <c r="C1267" s="16"/>
      <c r="F1267" s="18"/>
    </row>
    <row r="1268" spans="3:6" ht="20.100000000000001" customHeight="1">
      <c r="C1268" s="16"/>
      <c r="F1268" s="18"/>
    </row>
    <row r="1269" spans="3:6" ht="20.100000000000001" customHeight="1">
      <c r="C1269" s="16"/>
      <c r="F1269" s="18"/>
    </row>
    <row r="1270" spans="3:6" ht="20.100000000000001" customHeight="1">
      <c r="C1270" s="16"/>
      <c r="F1270" s="18"/>
    </row>
    <row r="1271" spans="3:6" ht="20.100000000000001" customHeight="1">
      <c r="C1271" s="16"/>
      <c r="F1271" s="18"/>
    </row>
    <row r="1272" spans="3:6" ht="20.100000000000001" customHeight="1">
      <c r="C1272" s="16"/>
      <c r="F1272" s="18"/>
    </row>
    <row r="1273" spans="3:6" ht="20.100000000000001" customHeight="1">
      <c r="C1273" s="16"/>
      <c r="F1273" s="18"/>
    </row>
    <row r="1274" spans="3:6" ht="20.100000000000001" customHeight="1">
      <c r="C1274" s="16"/>
      <c r="F1274" s="18"/>
    </row>
    <row r="1275" spans="3:6" ht="20.100000000000001" customHeight="1">
      <c r="C1275" s="16"/>
      <c r="F1275" s="18"/>
    </row>
    <row r="1276" spans="3:6" ht="20.100000000000001" customHeight="1">
      <c r="C1276" s="16"/>
      <c r="F1276" s="18"/>
    </row>
    <row r="1277" spans="3:6" ht="20.100000000000001" customHeight="1">
      <c r="C1277" s="16"/>
      <c r="F1277" s="18"/>
    </row>
    <row r="1278" spans="3:6" ht="20.100000000000001" customHeight="1">
      <c r="C1278" s="16"/>
      <c r="F1278" s="18"/>
    </row>
    <row r="1279" spans="3:6" ht="20.100000000000001" customHeight="1">
      <c r="C1279" s="16"/>
      <c r="F1279" s="18"/>
    </row>
    <row r="1280" spans="3:6" ht="20.100000000000001" customHeight="1">
      <c r="C1280" s="16"/>
      <c r="F1280" s="18"/>
    </row>
    <row r="1281" spans="3:6" ht="20.100000000000001" customHeight="1">
      <c r="C1281" s="16"/>
      <c r="F1281" s="18"/>
    </row>
    <row r="1282" spans="3:6" ht="20.100000000000001" customHeight="1">
      <c r="C1282" s="16"/>
      <c r="F1282" s="18"/>
    </row>
    <row r="1283" spans="3:6" ht="20.100000000000001" customHeight="1">
      <c r="C1283" s="16"/>
      <c r="F1283" s="18"/>
    </row>
    <row r="1284" spans="3:6" ht="20.100000000000001" customHeight="1">
      <c r="C1284" s="16"/>
      <c r="F1284" s="18"/>
    </row>
    <row r="1285" spans="3:6" ht="20.100000000000001" customHeight="1">
      <c r="C1285" s="16"/>
      <c r="F1285" s="18"/>
    </row>
    <row r="1286" spans="3:6" ht="20.100000000000001" customHeight="1">
      <c r="C1286" s="16"/>
      <c r="F1286" s="18"/>
    </row>
    <row r="1287" spans="3:6" ht="20.100000000000001" customHeight="1">
      <c r="C1287" s="16"/>
      <c r="F1287" s="18"/>
    </row>
    <row r="1288" spans="3:6" ht="20.100000000000001" customHeight="1">
      <c r="C1288" s="16"/>
      <c r="F1288" s="18"/>
    </row>
    <row r="1289" spans="3:6" ht="20.100000000000001" customHeight="1">
      <c r="C1289" s="16"/>
      <c r="F1289" s="18"/>
    </row>
    <row r="1290" spans="3:6" ht="20.100000000000001" customHeight="1">
      <c r="C1290" s="16"/>
      <c r="F1290" s="18"/>
    </row>
    <row r="1291" spans="3:6" ht="20.100000000000001" customHeight="1">
      <c r="C1291" s="16"/>
      <c r="F1291" s="18"/>
    </row>
    <row r="1292" spans="3:6" ht="20.100000000000001" customHeight="1">
      <c r="C1292" s="16"/>
      <c r="F1292" s="18"/>
    </row>
    <row r="1293" spans="3:6" ht="20.100000000000001" customHeight="1">
      <c r="C1293" s="16"/>
      <c r="F1293" s="18"/>
    </row>
    <row r="1294" spans="3:6" ht="20.100000000000001" customHeight="1">
      <c r="C1294" s="16"/>
      <c r="F1294" s="18"/>
    </row>
    <row r="1295" spans="3:6" ht="20.100000000000001" customHeight="1">
      <c r="F1295" s="18"/>
    </row>
    <row r="1296" spans="3:6" ht="20.100000000000001" customHeight="1">
      <c r="F1296" s="18"/>
    </row>
    <row r="1297" spans="6:6" ht="20.100000000000001" customHeight="1">
      <c r="F1297" s="18"/>
    </row>
    <row r="1298" spans="6:6" ht="20.100000000000001" customHeight="1">
      <c r="F1298" s="18"/>
    </row>
    <row r="1299" spans="6:6" ht="20.100000000000001" customHeight="1">
      <c r="F1299" s="18"/>
    </row>
    <row r="1300" spans="6:6" ht="20.100000000000001" customHeight="1">
      <c r="F1300" s="18"/>
    </row>
    <row r="1301" spans="6:6" ht="20.100000000000001" customHeight="1">
      <c r="F1301" s="18"/>
    </row>
    <row r="1302" spans="6:6" ht="20.100000000000001" customHeight="1">
      <c r="F1302" s="18"/>
    </row>
    <row r="1303" spans="6:6" ht="20.100000000000001" customHeight="1">
      <c r="F1303" s="18"/>
    </row>
    <row r="1304" spans="6:6" ht="20.100000000000001" customHeight="1">
      <c r="F1304" s="18"/>
    </row>
    <row r="1305" spans="6:6" ht="20.100000000000001" customHeight="1">
      <c r="F1305" s="18"/>
    </row>
    <row r="1306" spans="6:6" ht="20.100000000000001" customHeight="1">
      <c r="F1306" s="18"/>
    </row>
    <row r="1307" spans="6:6" ht="20.100000000000001" customHeight="1">
      <c r="F1307" s="18"/>
    </row>
    <row r="1308" spans="6:6" ht="20.100000000000001" customHeight="1">
      <c r="F1308" s="18"/>
    </row>
    <row r="1309" spans="6:6" ht="20.100000000000001" customHeight="1">
      <c r="F1309" s="18"/>
    </row>
    <row r="1310" spans="6:6" ht="20.100000000000001" customHeight="1">
      <c r="F1310" s="18"/>
    </row>
    <row r="1311" spans="6:6" ht="20.100000000000001" customHeight="1">
      <c r="F1311" s="18"/>
    </row>
    <row r="1312" spans="6:6" ht="20.100000000000001" customHeight="1">
      <c r="F1312" s="18"/>
    </row>
    <row r="1313" spans="6:6" ht="20.100000000000001" customHeight="1">
      <c r="F1313" s="18"/>
    </row>
    <row r="1314" spans="6:6" ht="20.100000000000001" customHeight="1">
      <c r="F1314" s="18"/>
    </row>
    <row r="1315" spans="6:6" ht="20.100000000000001" customHeight="1">
      <c r="F1315" s="18"/>
    </row>
    <row r="1316" spans="6:6" ht="20.100000000000001" customHeight="1">
      <c r="F1316" s="18"/>
    </row>
    <row r="1317" spans="6:6" ht="20.100000000000001" customHeight="1">
      <c r="F1317" s="18"/>
    </row>
    <row r="1318" spans="6:6" ht="20.100000000000001" customHeight="1">
      <c r="F1318" s="18"/>
    </row>
    <row r="1319" spans="6:6" ht="20.100000000000001" customHeight="1">
      <c r="F1319" s="18"/>
    </row>
    <row r="1320" spans="6:6" ht="20.100000000000001" customHeight="1">
      <c r="F1320" s="18"/>
    </row>
    <row r="1321" spans="6:6" ht="20.100000000000001" customHeight="1">
      <c r="F1321" s="18"/>
    </row>
    <row r="1322" spans="6:6" ht="20.100000000000001" customHeight="1">
      <c r="F1322" s="18"/>
    </row>
    <row r="1323" spans="6:6" ht="20.100000000000001" customHeight="1">
      <c r="F1323" s="18"/>
    </row>
    <row r="1324" spans="6:6" ht="20.100000000000001" customHeight="1">
      <c r="F1324" s="18"/>
    </row>
    <row r="1325" spans="6:6" ht="20.100000000000001" customHeight="1">
      <c r="F1325" s="18"/>
    </row>
    <row r="1326" spans="6:6" ht="20.100000000000001" customHeight="1">
      <c r="F1326" s="18"/>
    </row>
    <row r="1327" spans="6:6" ht="20.100000000000001" customHeight="1">
      <c r="F1327" s="18"/>
    </row>
    <row r="1328" spans="6:6" ht="20.100000000000001" customHeight="1">
      <c r="F1328" s="18"/>
    </row>
    <row r="1329" spans="6:6" ht="20.100000000000001" customHeight="1">
      <c r="F1329" s="18"/>
    </row>
    <row r="1330" spans="6:6" ht="20.100000000000001" customHeight="1">
      <c r="F1330" s="18"/>
    </row>
    <row r="1331" spans="6:6" ht="20.100000000000001" customHeight="1">
      <c r="F1331" s="18"/>
    </row>
    <row r="1332" spans="6:6" ht="20.100000000000001" customHeight="1">
      <c r="F1332" s="18"/>
    </row>
    <row r="1333" spans="6:6" ht="20.100000000000001" customHeight="1">
      <c r="F1333" s="18"/>
    </row>
    <row r="1334" spans="6:6" ht="20.100000000000001" customHeight="1">
      <c r="F1334" s="18"/>
    </row>
    <row r="1335" spans="6:6" ht="20.100000000000001" customHeight="1">
      <c r="F1335" s="18"/>
    </row>
    <row r="1336" spans="6:6" ht="20.100000000000001" customHeight="1">
      <c r="F1336" s="18"/>
    </row>
    <row r="1337" spans="6:6" ht="20.100000000000001" customHeight="1">
      <c r="F1337" s="18"/>
    </row>
    <row r="1338" spans="6:6" ht="20.100000000000001" customHeight="1">
      <c r="F1338" s="18"/>
    </row>
    <row r="1339" spans="6:6" ht="20.100000000000001" customHeight="1">
      <c r="F1339" s="18"/>
    </row>
    <row r="1340" spans="6:6" ht="20.100000000000001" customHeight="1">
      <c r="F1340" s="18"/>
    </row>
    <row r="1341" spans="6:6" ht="20.100000000000001" customHeight="1">
      <c r="F1341" s="18"/>
    </row>
    <row r="1342" spans="6:6" ht="20.100000000000001" customHeight="1">
      <c r="F1342" s="18"/>
    </row>
    <row r="1343" spans="6:6" ht="20.100000000000001" customHeight="1">
      <c r="F1343" s="18"/>
    </row>
    <row r="1344" spans="6:6" ht="20.100000000000001" customHeight="1">
      <c r="F1344" s="18"/>
    </row>
    <row r="1345" spans="6:6" ht="20.100000000000001" customHeight="1">
      <c r="F1345" s="18"/>
    </row>
    <row r="1346" spans="6:6" ht="20.100000000000001" customHeight="1">
      <c r="F1346" s="18"/>
    </row>
    <row r="1347" spans="6:6" ht="20.100000000000001" customHeight="1">
      <c r="F1347" s="18"/>
    </row>
    <row r="1348" spans="6:6" ht="20.100000000000001" customHeight="1">
      <c r="F1348" s="18"/>
    </row>
    <row r="1349" spans="6:6" ht="20.100000000000001" customHeight="1">
      <c r="F1349" s="18"/>
    </row>
    <row r="1350" spans="6:6" ht="20.100000000000001" customHeight="1">
      <c r="F1350" s="18"/>
    </row>
    <row r="1351" spans="6:6" ht="20.100000000000001" customHeight="1">
      <c r="F1351" s="18"/>
    </row>
    <row r="1352" spans="6:6" ht="20.100000000000001" customHeight="1">
      <c r="F1352" s="18"/>
    </row>
    <row r="1353" spans="6:6" ht="20.100000000000001" customHeight="1">
      <c r="F1353" s="18"/>
    </row>
    <row r="1354" spans="6:6" ht="20.100000000000001" customHeight="1">
      <c r="F1354" s="18"/>
    </row>
    <row r="1355" spans="6:6" ht="20.100000000000001" customHeight="1">
      <c r="F1355" s="18"/>
    </row>
    <row r="1356" spans="6:6" ht="20.100000000000001" customHeight="1">
      <c r="F1356" s="18"/>
    </row>
    <row r="1357" spans="6:6" ht="20.100000000000001" customHeight="1">
      <c r="F1357" s="18"/>
    </row>
    <row r="1358" spans="6:6" ht="20.100000000000001" customHeight="1">
      <c r="F1358" s="18"/>
    </row>
    <row r="1359" spans="6:6" ht="20.100000000000001" customHeight="1">
      <c r="F1359" s="18"/>
    </row>
    <row r="1360" spans="6:6" ht="20.100000000000001" customHeight="1">
      <c r="F1360" s="18"/>
    </row>
    <row r="1361" spans="6:6" ht="20.100000000000001" customHeight="1">
      <c r="F1361" s="18"/>
    </row>
  </sheetData>
  <sheetProtection algorithmName="SHA-512" hashValue="CnsWxg6/SUsSKW8H+4aldbibhrnbqFE7ajI5bwQQPZiMtwNkEu4YiV3niYBoY/NhCcWNUIkkGOyV2jY7avD8zg==" saltValue="baQOj0Eln0aqBCjOxG2/IA==" spinCount="100000" sheet="1" objects="1" scenarios="1"/>
  <autoFilter ref="A1:F1161" xr:uid="{00000000-0001-0000-0100-000000000000}"/>
  <sortState xmlns:xlrd2="http://schemas.microsoft.com/office/spreadsheetml/2017/richdata2" ref="B2:B19">
    <sortCondition ref="B2:B19"/>
  </sortState>
  <conditionalFormatting sqref="D50">
    <cfRule type="duplicateValues" dxfId="16" priority="9"/>
  </conditionalFormatting>
  <conditionalFormatting sqref="D76:D192 D196:D201 D206:D393 D397:D880 D64:D69 D53:D62 D51 D885:D1048576 D1:D29 D31:D49">
    <cfRule type="duplicateValues" dxfId="15" priority="2923"/>
  </conditionalFormatting>
  <conditionalFormatting sqref="D84">
    <cfRule type="duplicateValues" dxfId="14" priority="107"/>
  </conditionalFormatting>
  <conditionalFormatting sqref="D92">
    <cfRule type="duplicateValues" dxfId="13" priority="106"/>
  </conditionalFormatting>
  <conditionalFormatting sqref="D98">
    <cfRule type="duplicateValues" dxfId="12" priority="104"/>
  </conditionalFormatting>
  <conditionalFormatting sqref="D99">
    <cfRule type="duplicateValues" dxfId="11" priority="105"/>
  </conditionalFormatting>
  <conditionalFormatting sqref="D107">
    <cfRule type="duplicateValues" dxfId="10" priority="111"/>
  </conditionalFormatting>
  <conditionalFormatting sqref="D114">
    <cfRule type="duplicateValues" dxfId="9" priority="108"/>
  </conditionalFormatting>
  <conditionalFormatting sqref="D120">
    <cfRule type="duplicateValues" dxfId="8" priority="109"/>
  </conditionalFormatting>
  <conditionalFormatting sqref="D121">
    <cfRule type="duplicateValues" dxfId="7" priority="110"/>
  </conditionalFormatting>
  <conditionalFormatting sqref="D196:D201 D71:D192 D206:D393 D397:D880 D64:D69 D53:D62 D51 D885:D1048576 D1:D29 D31:D49">
    <cfRule type="duplicateValues" dxfId="6" priority="2930"/>
  </conditionalFormatting>
  <conditionalFormatting sqref="D202:D203 C1295:C1048576 D63 D52 C1 C444">
    <cfRule type="duplicateValues" dxfId="5" priority="2897"/>
  </conditionalFormatting>
  <conditionalFormatting sqref="D881:D884">
    <cfRule type="duplicateValues" dxfId="4" priority="6"/>
  </conditionalFormatting>
  <conditionalFormatting sqref="E1:E1048576">
    <cfRule type="duplicateValues" dxfId="3" priority="1"/>
  </conditionalFormatting>
  <conditionalFormatting sqref="E874:E877">
    <cfRule type="duplicateValues" dxfId="2" priority="5"/>
  </conditionalFormatting>
  <conditionalFormatting sqref="E1127:E1048576 E878:E1124 E1:E873 G48:G51">
    <cfRule type="duplicateValues" dxfId="1" priority="2957"/>
  </conditionalFormatting>
  <conditionalFormatting sqref="F1362:F1048576 F1">
    <cfRule type="duplicateValues" dxfId="0" priority="3030"/>
  </conditionalFormatting>
  <pageMargins left="0.7" right="0.7" top="0.75" bottom="0.75" header="0" footer="0"/>
  <pageSetup orientation="portrait" r:id="rId1"/>
  <headerFooter>
    <oddFooter>&amp;C&amp;P de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1CF8-377B-441E-8D29-56C0CD5AFF37}">
  <sheetPr codeName="Hoja3"/>
  <dimension ref="A1:I42"/>
  <sheetViews>
    <sheetView topLeftCell="A10" zoomScale="110" zoomScaleNormal="110" workbookViewId="0">
      <selection activeCell="C23" sqref="C23"/>
    </sheetView>
  </sheetViews>
  <sheetFormatPr baseColWidth="10" defaultColWidth="11" defaultRowHeight="20.100000000000001" customHeight="1"/>
  <cols>
    <col min="1" max="1" width="59" style="16" bestFit="1" customWidth="1"/>
    <col min="2" max="2" width="14" style="16" bestFit="1" customWidth="1"/>
    <col min="3" max="3" width="34.8984375" style="16" bestFit="1" customWidth="1"/>
    <col min="4" max="4" width="120.5" style="16" customWidth="1"/>
    <col min="5" max="5" width="136.5" style="16" bestFit="1" customWidth="1"/>
    <col min="6" max="16384" width="11" style="16"/>
  </cols>
  <sheetData>
    <row r="1" spans="1:9" ht="20.100000000000001" customHeight="1">
      <c r="A1" s="16" t="s">
        <v>10428</v>
      </c>
      <c r="B1" s="16" t="s">
        <v>10429</v>
      </c>
      <c r="C1" s="16" t="s">
        <v>10412</v>
      </c>
      <c r="D1" s="16" t="s">
        <v>33</v>
      </c>
      <c r="E1" s="16" t="s">
        <v>34</v>
      </c>
    </row>
    <row r="2" spans="1:9" ht="20.100000000000001" customHeight="1">
      <c r="A2" s="16" t="s">
        <v>10471</v>
      </c>
      <c r="B2" s="16" t="s">
        <v>29</v>
      </c>
      <c r="C2" s="16" t="s">
        <v>10415</v>
      </c>
      <c r="D2" s="16" t="s">
        <v>10506</v>
      </c>
      <c r="E2" s="16" t="s">
        <v>10507</v>
      </c>
      <c r="F2" s="16" t="s">
        <v>39</v>
      </c>
      <c r="G2" s="16" t="s">
        <v>40</v>
      </c>
      <c r="H2" s="16" t="s">
        <v>10468</v>
      </c>
      <c r="I2" s="16" t="s">
        <v>41</v>
      </c>
    </row>
    <row r="3" spans="1:9" ht="20.100000000000001" customHeight="1">
      <c r="A3" s="16" t="s">
        <v>10472</v>
      </c>
      <c r="B3" s="16" t="s">
        <v>29</v>
      </c>
      <c r="C3" s="16" t="s">
        <v>10415</v>
      </c>
      <c r="D3" s="16" t="s">
        <v>10450</v>
      </c>
      <c r="E3" s="16" t="s">
        <v>10443</v>
      </c>
      <c r="F3" s="16" t="s">
        <v>39</v>
      </c>
      <c r="G3" s="16" t="s">
        <v>40</v>
      </c>
      <c r="H3" s="16" t="s">
        <v>10468</v>
      </c>
      <c r="I3" s="16" t="s">
        <v>41</v>
      </c>
    </row>
    <row r="4" spans="1:9" ht="20.100000000000001" customHeight="1">
      <c r="A4" s="16" t="s">
        <v>10473</v>
      </c>
      <c r="B4" s="16" t="s">
        <v>29</v>
      </c>
      <c r="C4" s="16" t="s">
        <v>10415</v>
      </c>
      <c r="D4" s="16" t="s">
        <v>10509</v>
      </c>
      <c r="E4" s="16" t="s">
        <v>10508</v>
      </c>
      <c r="F4" s="16" t="s">
        <v>39</v>
      </c>
      <c r="G4" s="16" t="s">
        <v>40</v>
      </c>
      <c r="H4" s="16" t="s">
        <v>10468</v>
      </c>
      <c r="I4" s="16" t="s">
        <v>41</v>
      </c>
    </row>
    <row r="5" spans="1:9" ht="20.100000000000001" customHeight="1">
      <c r="A5" s="16" t="s">
        <v>10478</v>
      </c>
      <c r="B5" s="16" t="s">
        <v>29</v>
      </c>
      <c r="C5" s="16" t="s">
        <v>10417</v>
      </c>
      <c r="D5" s="16" t="s">
        <v>10430</v>
      </c>
      <c r="E5" s="16" t="s">
        <v>10444</v>
      </c>
      <c r="F5" s="16" t="s">
        <v>39</v>
      </c>
      <c r="G5" s="16" t="s">
        <v>40</v>
      </c>
      <c r="H5" s="16" t="s">
        <v>10468</v>
      </c>
      <c r="I5" s="16" t="s">
        <v>41</v>
      </c>
    </row>
    <row r="6" spans="1:9" ht="20.100000000000001" customHeight="1">
      <c r="A6" s="16" t="s">
        <v>10476</v>
      </c>
      <c r="B6" s="16" t="s">
        <v>29</v>
      </c>
      <c r="C6" s="16" t="s">
        <v>10417</v>
      </c>
      <c r="D6" s="16" t="s">
        <v>10430</v>
      </c>
      <c r="E6" s="16" t="s">
        <v>10444</v>
      </c>
      <c r="F6" s="16" t="s">
        <v>39</v>
      </c>
      <c r="G6" s="16" t="s">
        <v>40</v>
      </c>
      <c r="H6" s="16" t="s">
        <v>10468</v>
      </c>
      <c r="I6" s="16" t="s">
        <v>41</v>
      </c>
    </row>
    <row r="7" spans="1:9" ht="20.100000000000001" customHeight="1">
      <c r="A7" s="16" t="s">
        <v>10480</v>
      </c>
      <c r="B7" s="16" t="s">
        <v>29</v>
      </c>
      <c r="C7" s="16" t="s">
        <v>10417</v>
      </c>
      <c r="D7" s="16" t="s">
        <v>10430</v>
      </c>
      <c r="E7" s="16" t="s">
        <v>10444</v>
      </c>
      <c r="F7" s="16" t="s">
        <v>39</v>
      </c>
      <c r="G7" s="16" t="s">
        <v>40</v>
      </c>
      <c r="H7" s="16" t="s">
        <v>10468</v>
      </c>
      <c r="I7" s="16" t="s">
        <v>41</v>
      </c>
    </row>
    <row r="8" spans="1:9" ht="20.100000000000001" customHeight="1">
      <c r="A8" s="16" t="s">
        <v>10481</v>
      </c>
      <c r="B8" s="16" t="s">
        <v>29</v>
      </c>
      <c r="C8" s="16" t="s">
        <v>10417</v>
      </c>
      <c r="D8" s="16" t="s">
        <v>10430</v>
      </c>
      <c r="E8" s="16" t="s">
        <v>10444</v>
      </c>
      <c r="F8" s="16" t="s">
        <v>39</v>
      </c>
      <c r="G8" s="16" t="s">
        <v>40</v>
      </c>
      <c r="H8" s="16" t="s">
        <v>10468</v>
      </c>
      <c r="I8" s="16" t="s">
        <v>41</v>
      </c>
    </row>
    <row r="9" spans="1:9" ht="20.100000000000001" customHeight="1">
      <c r="A9" s="16" t="s">
        <v>10475</v>
      </c>
      <c r="B9" s="16" t="s">
        <v>29</v>
      </c>
      <c r="C9" s="16" t="s">
        <v>10417</v>
      </c>
      <c r="D9" s="16" t="s">
        <v>10430</v>
      </c>
      <c r="E9" s="16" t="s">
        <v>10444</v>
      </c>
      <c r="F9" s="16" t="s">
        <v>39</v>
      </c>
      <c r="G9" s="16" t="s">
        <v>40</v>
      </c>
      <c r="H9" s="16" t="s">
        <v>10468</v>
      </c>
      <c r="I9" s="16" t="s">
        <v>41</v>
      </c>
    </row>
    <row r="10" spans="1:9" ht="20.100000000000001" customHeight="1">
      <c r="A10" s="16" t="s">
        <v>10482</v>
      </c>
      <c r="B10" s="16" t="s">
        <v>29</v>
      </c>
      <c r="C10" s="16" t="s">
        <v>10417</v>
      </c>
      <c r="D10" s="16" t="s">
        <v>10430</v>
      </c>
      <c r="E10" s="16" t="s">
        <v>10444</v>
      </c>
      <c r="F10" s="16" t="s">
        <v>39</v>
      </c>
      <c r="G10" s="16" t="s">
        <v>40</v>
      </c>
      <c r="H10" s="16" t="s">
        <v>10468</v>
      </c>
      <c r="I10" s="16" t="s">
        <v>41</v>
      </c>
    </row>
    <row r="11" spans="1:9" ht="20.100000000000001" customHeight="1">
      <c r="A11" s="16" t="s">
        <v>10479</v>
      </c>
      <c r="B11" s="16" t="s">
        <v>29</v>
      </c>
      <c r="C11" s="16" t="s">
        <v>10417</v>
      </c>
      <c r="D11" s="16" t="s">
        <v>10430</v>
      </c>
      <c r="E11" s="16" t="s">
        <v>10444</v>
      </c>
      <c r="F11" s="16" t="s">
        <v>39</v>
      </c>
      <c r="G11" s="16" t="s">
        <v>40</v>
      </c>
      <c r="H11" s="16" t="s">
        <v>10468</v>
      </c>
      <c r="I11" s="16" t="s">
        <v>41</v>
      </c>
    </row>
    <row r="12" spans="1:9" ht="20.100000000000001" customHeight="1">
      <c r="A12" s="16" t="s">
        <v>10477</v>
      </c>
      <c r="B12" s="16" t="s">
        <v>29</v>
      </c>
      <c r="C12" s="16" t="s">
        <v>10417</v>
      </c>
      <c r="D12" s="16" t="s">
        <v>10430</v>
      </c>
      <c r="E12" s="16" t="s">
        <v>10444</v>
      </c>
      <c r="F12" s="16" t="s">
        <v>39</v>
      </c>
      <c r="G12" s="16" t="s">
        <v>40</v>
      </c>
      <c r="H12" s="16" t="s">
        <v>10468</v>
      </c>
      <c r="I12" s="16" t="s">
        <v>41</v>
      </c>
    </row>
    <row r="13" spans="1:9" ht="20.100000000000001" customHeight="1">
      <c r="A13" s="16" t="s">
        <v>10483</v>
      </c>
      <c r="B13" s="16" t="s">
        <v>10431</v>
      </c>
      <c r="C13" s="16" t="s">
        <v>10415</v>
      </c>
      <c r="D13" s="16" t="s">
        <v>10512</v>
      </c>
      <c r="E13" s="16" t="s">
        <v>10513</v>
      </c>
      <c r="F13" s="16" t="s">
        <v>39</v>
      </c>
      <c r="G13" s="16" t="s">
        <v>40</v>
      </c>
      <c r="H13" s="16" t="s">
        <v>10468</v>
      </c>
      <c r="I13" s="16" t="s">
        <v>41</v>
      </c>
    </row>
    <row r="14" spans="1:9" ht="20.100000000000001" customHeight="1">
      <c r="A14" s="16" t="s">
        <v>10484</v>
      </c>
      <c r="B14" s="16" t="s">
        <v>10431</v>
      </c>
      <c r="C14" s="16" t="s">
        <v>10415</v>
      </c>
      <c r="D14" s="16" t="s">
        <v>10449</v>
      </c>
      <c r="E14" s="16" t="s">
        <v>10445</v>
      </c>
      <c r="F14" s="16" t="s">
        <v>39</v>
      </c>
      <c r="G14" s="16" t="s">
        <v>40</v>
      </c>
      <c r="H14" s="16" t="s">
        <v>10468</v>
      </c>
      <c r="I14" s="16" t="s">
        <v>41</v>
      </c>
    </row>
    <row r="15" spans="1:9" ht="20.100000000000001" customHeight="1">
      <c r="A15" s="16" t="s">
        <v>10485</v>
      </c>
      <c r="B15" s="16" t="s">
        <v>10431</v>
      </c>
      <c r="C15" s="16" t="s">
        <v>10415</v>
      </c>
      <c r="D15" s="16" t="s">
        <v>10514</v>
      </c>
      <c r="E15" s="16" t="s">
        <v>10515</v>
      </c>
      <c r="F15" s="16" t="s">
        <v>39</v>
      </c>
      <c r="G15" s="16" t="s">
        <v>40</v>
      </c>
      <c r="H15" s="16" t="s">
        <v>10468</v>
      </c>
      <c r="I15" s="16" t="s">
        <v>41</v>
      </c>
    </row>
    <row r="16" spans="1:9" ht="20.100000000000001" customHeight="1">
      <c r="A16" s="16" t="s">
        <v>10486</v>
      </c>
      <c r="B16" s="16" t="s">
        <v>10431</v>
      </c>
      <c r="C16" s="16" t="s">
        <v>10417</v>
      </c>
      <c r="D16" s="16" t="s">
        <v>10432</v>
      </c>
      <c r="E16" s="16" t="s">
        <v>10446</v>
      </c>
      <c r="F16" s="16" t="s">
        <v>39</v>
      </c>
      <c r="G16" s="16" t="s">
        <v>40</v>
      </c>
      <c r="H16" s="16" t="s">
        <v>10468</v>
      </c>
      <c r="I16" s="16" t="s">
        <v>41</v>
      </c>
    </row>
    <row r="17" spans="1:9" ht="20.100000000000001" customHeight="1">
      <c r="A17" s="16" t="s">
        <v>10487</v>
      </c>
      <c r="B17" s="16" t="s">
        <v>10431</v>
      </c>
      <c r="C17" s="16" t="s">
        <v>10417</v>
      </c>
      <c r="D17" s="16" t="s">
        <v>10432</v>
      </c>
      <c r="E17" s="16" t="s">
        <v>10446</v>
      </c>
      <c r="F17" s="16" t="s">
        <v>39</v>
      </c>
      <c r="G17" s="16" t="s">
        <v>40</v>
      </c>
      <c r="H17" s="16" t="s">
        <v>10468</v>
      </c>
      <c r="I17" s="16" t="s">
        <v>41</v>
      </c>
    </row>
    <row r="18" spans="1:9" ht="20.100000000000001" customHeight="1">
      <c r="A18" s="16" t="s">
        <v>10488</v>
      </c>
      <c r="B18" s="16" t="s">
        <v>10431</v>
      </c>
      <c r="C18" s="16" t="s">
        <v>10417</v>
      </c>
      <c r="D18" s="16" t="s">
        <v>10432</v>
      </c>
      <c r="E18" s="16" t="s">
        <v>10446</v>
      </c>
      <c r="F18" s="16" t="s">
        <v>39</v>
      </c>
      <c r="G18" s="16" t="s">
        <v>40</v>
      </c>
      <c r="H18" s="16" t="s">
        <v>10468</v>
      </c>
      <c r="I18" s="16" t="s">
        <v>41</v>
      </c>
    </row>
    <row r="19" spans="1:9" ht="20.100000000000001" customHeight="1">
      <c r="A19" s="16" t="s">
        <v>10489</v>
      </c>
      <c r="B19" s="16" t="s">
        <v>10431</v>
      </c>
      <c r="C19" s="16" t="s">
        <v>10417</v>
      </c>
      <c r="D19" s="16" t="s">
        <v>10432</v>
      </c>
      <c r="E19" s="16" t="s">
        <v>10446</v>
      </c>
      <c r="F19" s="16" t="s">
        <v>39</v>
      </c>
      <c r="G19" s="16" t="s">
        <v>40</v>
      </c>
      <c r="H19" s="16" t="s">
        <v>10468</v>
      </c>
      <c r="I19" s="16" t="s">
        <v>41</v>
      </c>
    </row>
    <row r="20" spans="1:9" ht="20.100000000000001" customHeight="1">
      <c r="A20" s="16" t="s">
        <v>10490</v>
      </c>
      <c r="B20" s="16" t="s">
        <v>10431</v>
      </c>
      <c r="C20" s="16" t="s">
        <v>10417</v>
      </c>
      <c r="D20" s="16" t="s">
        <v>10432</v>
      </c>
      <c r="E20" s="16" t="s">
        <v>10446</v>
      </c>
      <c r="F20" s="16" t="s">
        <v>39</v>
      </c>
      <c r="G20" s="16" t="s">
        <v>40</v>
      </c>
      <c r="H20" s="16" t="s">
        <v>10468</v>
      </c>
      <c r="I20" s="16" t="s">
        <v>41</v>
      </c>
    </row>
    <row r="21" spans="1:9" ht="20.100000000000001" customHeight="1">
      <c r="A21" s="16" t="s">
        <v>10491</v>
      </c>
      <c r="B21" s="16" t="s">
        <v>10431</v>
      </c>
      <c r="C21" s="16" t="s">
        <v>10417</v>
      </c>
      <c r="D21" s="16" t="s">
        <v>10432</v>
      </c>
      <c r="E21" s="16" t="s">
        <v>10446</v>
      </c>
      <c r="F21" s="16" t="s">
        <v>39</v>
      </c>
      <c r="G21" s="16" t="s">
        <v>40</v>
      </c>
      <c r="H21" s="16" t="s">
        <v>10468</v>
      </c>
      <c r="I21" s="16" t="s">
        <v>41</v>
      </c>
    </row>
    <row r="22" spans="1:9" ht="20.100000000000001" customHeight="1">
      <c r="A22" s="16" t="s">
        <v>10492</v>
      </c>
      <c r="B22" s="16" t="s">
        <v>10431</v>
      </c>
      <c r="C22" s="16" t="s">
        <v>10417</v>
      </c>
      <c r="D22" s="16" t="s">
        <v>10432</v>
      </c>
      <c r="E22" s="16" t="s">
        <v>10446</v>
      </c>
      <c r="F22" s="16" t="s">
        <v>39</v>
      </c>
      <c r="G22" s="16" t="s">
        <v>40</v>
      </c>
      <c r="H22" s="16" t="s">
        <v>10468</v>
      </c>
      <c r="I22" s="16" t="s">
        <v>41</v>
      </c>
    </row>
    <row r="23" spans="1:9" ht="20.100000000000001" customHeight="1">
      <c r="A23" s="16" t="s">
        <v>10493</v>
      </c>
      <c r="B23" s="16" t="s">
        <v>10431</v>
      </c>
      <c r="C23" s="16" t="s">
        <v>10417</v>
      </c>
      <c r="D23" s="16" t="s">
        <v>10432</v>
      </c>
      <c r="E23" s="16" t="s">
        <v>10446</v>
      </c>
      <c r="F23" s="16" t="s">
        <v>39</v>
      </c>
      <c r="G23" s="16" t="s">
        <v>40</v>
      </c>
      <c r="H23" s="16" t="s">
        <v>10468</v>
      </c>
      <c r="I23" s="16" t="s">
        <v>41</v>
      </c>
    </row>
    <row r="24" spans="1:9" ht="20.100000000000001" customHeight="1">
      <c r="A24" s="16" t="s">
        <v>10494</v>
      </c>
      <c r="B24" s="16" t="s">
        <v>10433</v>
      </c>
      <c r="C24" s="16" t="s">
        <v>10415</v>
      </c>
      <c r="D24" s="16" t="s">
        <v>10518</v>
      </c>
      <c r="E24" s="16" t="s">
        <v>10434</v>
      </c>
      <c r="F24" s="16" t="s">
        <v>39</v>
      </c>
      <c r="G24" s="16" t="s">
        <v>40</v>
      </c>
      <c r="H24" s="16" t="s">
        <v>10468</v>
      </c>
      <c r="I24" s="16" t="s">
        <v>41</v>
      </c>
    </row>
    <row r="25" spans="1:9" ht="20.100000000000001" customHeight="1">
      <c r="A25" s="16" t="s">
        <v>10495</v>
      </c>
      <c r="B25" s="16" t="s">
        <v>10433</v>
      </c>
      <c r="C25" s="16" t="s">
        <v>10415</v>
      </c>
      <c r="D25" s="16" t="s">
        <v>10448</v>
      </c>
      <c r="E25" s="16" t="s">
        <v>10434</v>
      </c>
      <c r="F25" s="16" t="s">
        <v>39</v>
      </c>
      <c r="G25" s="16" t="s">
        <v>40</v>
      </c>
      <c r="H25" s="16" t="s">
        <v>10468</v>
      </c>
      <c r="I25" s="16" t="s">
        <v>41</v>
      </c>
    </row>
    <row r="26" spans="1:9" ht="20.100000000000001" customHeight="1">
      <c r="A26" s="16" t="s">
        <v>10496</v>
      </c>
      <c r="B26" s="16" t="s">
        <v>10433</v>
      </c>
      <c r="C26" s="16" t="s">
        <v>10415</v>
      </c>
      <c r="D26" s="16" t="s">
        <v>10448</v>
      </c>
      <c r="E26" s="16" t="s">
        <v>10434</v>
      </c>
      <c r="F26" s="16" t="s">
        <v>39</v>
      </c>
      <c r="G26" s="16" t="s">
        <v>40</v>
      </c>
      <c r="H26" s="16" t="s">
        <v>10468</v>
      </c>
      <c r="I26" s="16" t="s">
        <v>41</v>
      </c>
    </row>
    <row r="27" spans="1:9" ht="20.100000000000001" customHeight="1">
      <c r="A27" s="16" t="s">
        <v>10497</v>
      </c>
      <c r="B27" s="16" t="s">
        <v>10433</v>
      </c>
      <c r="C27" s="16" t="s">
        <v>10417</v>
      </c>
      <c r="D27" s="16" t="s">
        <v>10435</v>
      </c>
      <c r="E27" s="16" t="s">
        <v>10447</v>
      </c>
      <c r="F27" s="16" t="s">
        <v>39</v>
      </c>
      <c r="G27" s="16" t="s">
        <v>40</v>
      </c>
      <c r="H27" s="16" t="s">
        <v>10468</v>
      </c>
      <c r="I27" s="16" t="s">
        <v>41</v>
      </c>
    </row>
    <row r="28" spans="1:9" ht="20.100000000000001" customHeight="1">
      <c r="A28" s="16" t="s">
        <v>10498</v>
      </c>
      <c r="B28" s="16" t="s">
        <v>10433</v>
      </c>
      <c r="C28" s="16" t="s">
        <v>10417</v>
      </c>
      <c r="D28" s="16" t="s">
        <v>10435</v>
      </c>
      <c r="E28" s="16" t="s">
        <v>10447</v>
      </c>
      <c r="F28" s="16" t="s">
        <v>39</v>
      </c>
      <c r="G28" s="16" t="s">
        <v>40</v>
      </c>
      <c r="H28" s="16" t="s">
        <v>10468</v>
      </c>
      <c r="I28" s="16" t="s">
        <v>41</v>
      </c>
    </row>
    <row r="29" spans="1:9" ht="20.100000000000001" customHeight="1">
      <c r="A29" s="16" t="s">
        <v>10499</v>
      </c>
      <c r="B29" s="16" t="s">
        <v>10433</v>
      </c>
      <c r="C29" s="16" t="s">
        <v>10417</v>
      </c>
      <c r="D29" s="16" t="s">
        <v>10435</v>
      </c>
      <c r="E29" s="16" t="s">
        <v>10447</v>
      </c>
      <c r="F29" s="16" t="s">
        <v>39</v>
      </c>
      <c r="G29" s="16" t="s">
        <v>40</v>
      </c>
      <c r="H29" s="16" t="s">
        <v>10468</v>
      </c>
      <c r="I29" s="16" t="s">
        <v>41</v>
      </c>
    </row>
    <row r="30" spans="1:9" ht="20.100000000000001" customHeight="1">
      <c r="A30" s="16" t="s">
        <v>10500</v>
      </c>
      <c r="B30" s="16" t="s">
        <v>10433</v>
      </c>
      <c r="C30" s="16" t="s">
        <v>10417</v>
      </c>
      <c r="D30" s="16" t="s">
        <v>10435</v>
      </c>
      <c r="E30" s="16" t="s">
        <v>10447</v>
      </c>
      <c r="F30" s="16" t="s">
        <v>39</v>
      </c>
      <c r="G30" s="16" t="s">
        <v>40</v>
      </c>
      <c r="H30" s="16" t="s">
        <v>10468</v>
      </c>
      <c r="I30" s="16" t="s">
        <v>41</v>
      </c>
    </row>
    <row r="31" spans="1:9" ht="20.100000000000001" customHeight="1">
      <c r="A31" s="16" t="s">
        <v>10501</v>
      </c>
      <c r="B31" s="16" t="s">
        <v>10433</v>
      </c>
      <c r="C31" s="16" t="s">
        <v>10417</v>
      </c>
      <c r="D31" s="16" t="s">
        <v>10435</v>
      </c>
      <c r="E31" s="16" t="s">
        <v>10447</v>
      </c>
      <c r="F31" s="16" t="s">
        <v>39</v>
      </c>
      <c r="G31" s="16" t="s">
        <v>40</v>
      </c>
      <c r="H31" s="16" t="s">
        <v>10468</v>
      </c>
      <c r="I31" s="16" t="s">
        <v>41</v>
      </c>
    </row>
    <row r="32" spans="1:9" ht="20.100000000000001" customHeight="1">
      <c r="A32" s="16" t="s">
        <v>10502</v>
      </c>
      <c r="B32" s="16" t="s">
        <v>10433</v>
      </c>
      <c r="C32" s="16" t="s">
        <v>10417</v>
      </c>
      <c r="D32" s="16" t="s">
        <v>10435</v>
      </c>
      <c r="E32" s="16" t="s">
        <v>10447</v>
      </c>
      <c r="F32" s="16" t="s">
        <v>39</v>
      </c>
      <c r="G32" s="16" t="s">
        <v>40</v>
      </c>
      <c r="H32" s="16" t="s">
        <v>10468</v>
      </c>
      <c r="I32" s="16" t="s">
        <v>41</v>
      </c>
    </row>
    <row r="33" spans="1:9" ht="20.100000000000001" customHeight="1">
      <c r="A33" s="16" t="s">
        <v>10503</v>
      </c>
      <c r="B33" s="16" t="s">
        <v>10433</v>
      </c>
      <c r="C33" s="16" t="s">
        <v>10417</v>
      </c>
      <c r="D33" s="16" t="s">
        <v>10435</v>
      </c>
      <c r="E33" s="16" t="s">
        <v>10447</v>
      </c>
      <c r="F33" s="16" t="s">
        <v>39</v>
      </c>
      <c r="G33" s="16" t="s">
        <v>40</v>
      </c>
      <c r="H33" s="16" t="s">
        <v>10468</v>
      </c>
      <c r="I33" s="16" t="s">
        <v>41</v>
      </c>
    </row>
    <row r="34" spans="1:9" ht="20.100000000000001" customHeight="1">
      <c r="A34" s="16" t="s">
        <v>10504</v>
      </c>
      <c r="B34" s="16" t="s">
        <v>10433</v>
      </c>
      <c r="C34" s="16" t="s">
        <v>10417</v>
      </c>
      <c r="D34" s="16" t="s">
        <v>10435</v>
      </c>
      <c r="E34" s="16" t="s">
        <v>10447</v>
      </c>
      <c r="F34" s="16" t="s">
        <v>39</v>
      </c>
      <c r="G34" s="16" t="s">
        <v>40</v>
      </c>
      <c r="H34" s="16" t="s">
        <v>10468</v>
      </c>
      <c r="I34" s="16" t="s">
        <v>41</v>
      </c>
    </row>
    <row r="35" spans="1:9" ht="20.100000000000001" customHeight="1">
      <c r="A35" s="16" t="s">
        <v>10474</v>
      </c>
      <c r="B35" s="16" t="s">
        <v>29</v>
      </c>
      <c r="C35" s="1" t="s">
        <v>10470</v>
      </c>
      <c r="D35" s="16" t="s">
        <v>10505</v>
      </c>
      <c r="E35" s="16" t="s">
        <v>10437</v>
      </c>
      <c r="F35" s="16" t="s">
        <v>39</v>
      </c>
      <c r="G35" s="16" t="s">
        <v>40</v>
      </c>
      <c r="H35" s="16" t="s">
        <v>10468</v>
      </c>
      <c r="I35" s="16" t="s">
        <v>10510</v>
      </c>
    </row>
    <row r="36" spans="1:9" ht="20.100000000000001" customHeight="1">
      <c r="C36" s="1"/>
    </row>
    <row r="37" spans="1:9" ht="20.100000000000001" customHeight="1">
      <c r="C37" s="1"/>
    </row>
    <row r="38" spans="1:9" ht="20.100000000000001" customHeight="1">
      <c r="C38" s="1"/>
    </row>
    <row r="39" spans="1:9" ht="20.100000000000001" customHeight="1">
      <c r="C39" s="1"/>
    </row>
    <row r="40" spans="1:9" ht="20.100000000000001" customHeight="1">
      <c r="C40" s="1"/>
    </row>
    <row r="41" spans="1:9" ht="20.100000000000001" customHeight="1">
      <c r="C41" s="1"/>
    </row>
    <row r="42" spans="1:9" ht="20.100000000000001" customHeight="1">
      <c r="C42" s="1"/>
    </row>
  </sheetData>
  <sheetProtection algorithmName="SHA-512" hashValue="8Y9a9pRI6Ch4pmX7HP0Ll7tyds1UdaP6CdMaytw72QYSM4ZDix0qpSPI9VwPjCxsrpRggKuQaENUORbHKHpyLw==" saltValue="lUbmXOY03Sg5AlH0sSfWJw==" spinCount="100000" sheet="1" objects="1" scenarios="1"/>
  <sortState xmlns:xlrd2="http://schemas.microsoft.com/office/spreadsheetml/2017/richdata2" ref="A2:E23">
    <sortCondition ref="A2:A23"/>
  </sortState>
  <phoneticPr fontId="3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0AE8-A448-4428-9A22-72A5E1DC94A0}">
  <sheetPr codeName="Hoja1"/>
  <dimension ref="A1:C13"/>
  <sheetViews>
    <sheetView zoomScale="110" zoomScaleNormal="110" workbookViewId="0">
      <selection activeCell="B19" sqref="B19"/>
    </sheetView>
  </sheetViews>
  <sheetFormatPr baseColWidth="10" defaultColWidth="11" defaultRowHeight="20.100000000000001" customHeight="1"/>
  <cols>
    <col min="1" max="1" width="27.59765625" style="1" customWidth="1"/>
    <col min="2" max="2" width="26" style="1" bestFit="1" customWidth="1"/>
    <col min="3" max="3" width="23.09765625" style="1" bestFit="1" customWidth="1"/>
    <col min="4" max="16384" width="11" style="1"/>
  </cols>
  <sheetData>
    <row r="1" spans="1:3" ht="20.100000000000001" customHeight="1">
      <c r="A1" s="21" t="s">
        <v>10410</v>
      </c>
      <c r="B1" s="2" t="s">
        <v>10411</v>
      </c>
      <c r="C1" s="2" t="s">
        <v>10412</v>
      </c>
    </row>
    <row r="2" spans="1:3" ht="20.100000000000001" customHeight="1">
      <c r="A2" s="16" t="s">
        <v>10413</v>
      </c>
      <c r="B2" s="16" t="s">
        <v>10414</v>
      </c>
      <c r="C2" s="16" t="s">
        <v>10415</v>
      </c>
    </row>
    <row r="3" spans="1:3" ht="20.100000000000001" customHeight="1">
      <c r="A3" s="16" t="s">
        <v>10415</v>
      </c>
      <c r="B3" s="16" t="s">
        <v>10416</v>
      </c>
      <c r="C3" s="16" t="s">
        <v>10417</v>
      </c>
    </row>
    <row r="4" spans="1:3" ht="20.100000000000001" customHeight="1">
      <c r="A4" s="16" t="s">
        <v>10415</v>
      </c>
      <c r="B4" s="16" t="s">
        <v>10418</v>
      </c>
      <c r="C4" s="1" t="s">
        <v>10469</v>
      </c>
    </row>
    <row r="5" spans="1:3" ht="20.100000000000001" customHeight="1">
      <c r="A5" s="16" t="s">
        <v>10419</v>
      </c>
      <c r="B5" s="16" t="s">
        <v>10420</v>
      </c>
      <c r="C5" s="50"/>
    </row>
    <row r="6" spans="1:3" ht="20.100000000000001" customHeight="1">
      <c r="A6" s="16" t="s">
        <v>10419</v>
      </c>
      <c r="B6" s="16" t="s">
        <v>10421</v>
      </c>
      <c r="C6" s="50"/>
    </row>
    <row r="7" spans="1:3" ht="20.100000000000001" customHeight="1">
      <c r="A7" s="16" t="s">
        <v>10419</v>
      </c>
      <c r="B7" s="16" t="s">
        <v>10422</v>
      </c>
      <c r="C7" s="50"/>
    </row>
    <row r="8" spans="1:3" ht="20.100000000000001" customHeight="1">
      <c r="A8" s="16" t="s">
        <v>10419</v>
      </c>
      <c r="B8" s="16" t="s">
        <v>10423</v>
      </c>
      <c r="C8" s="50"/>
    </row>
    <row r="9" spans="1:3" ht="20.100000000000001" customHeight="1">
      <c r="A9" s="16" t="s">
        <v>10419</v>
      </c>
      <c r="B9" s="16" t="s">
        <v>10424</v>
      </c>
      <c r="C9" s="50"/>
    </row>
    <row r="10" spans="1:3" ht="20.100000000000001" customHeight="1">
      <c r="A10" s="16" t="s">
        <v>10419</v>
      </c>
      <c r="B10" s="16" t="s">
        <v>10425</v>
      </c>
      <c r="C10" s="50"/>
    </row>
    <row r="11" spans="1:3" ht="20.100000000000001" customHeight="1">
      <c r="A11" s="16" t="s">
        <v>10419</v>
      </c>
      <c r="B11" s="16" t="s">
        <v>10426</v>
      </c>
      <c r="C11" s="50"/>
    </row>
    <row r="12" spans="1:3" ht="20.100000000000001" customHeight="1">
      <c r="A12" s="16" t="s">
        <v>10419</v>
      </c>
      <c r="B12" s="16" t="s">
        <v>10427</v>
      </c>
      <c r="C12" s="50"/>
    </row>
    <row r="13" spans="1:3" ht="19.5" customHeight="1">
      <c r="A13" s="1" t="s">
        <v>10469</v>
      </c>
      <c r="B13" s="1" t="s">
        <v>10470</v>
      </c>
    </row>
  </sheetData>
  <sheetProtection algorithmName="SHA-512" hashValue="oTCUzh3h659ltDqeA7BU7qvgAdBhiYFPJij3BaiNEhs09PrNQWGY56uYySkeQB2AOcEoiA9cjWMcbVgMCfhf1A==" saltValue="Sv0voFROCz+iI5gEDzeOuQ==" spinCount="100000" sheet="1" objects="1" scenarios="1"/>
  <dataConsolidate/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079293-eadd-4436-8187-18667cde1a4c">
      <Terms xmlns="http://schemas.microsoft.com/office/infopath/2007/PartnerControls"/>
    </lcf76f155ced4ddcb4097134ff3c332f>
    <TaxCatchAll xmlns="983c235b-cb23-418c-b1fd-2d91cd2025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AB19B52DECB4D876A5B1F90499140" ma:contentTypeVersion="14" ma:contentTypeDescription="Crear nuevo documento." ma:contentTypeScope="" ma:versionID="25f3c8149b53db570235d4387b2b754b">
  <xsd:schema xmlns:xsd="http://www.w3.org/2001/XMLSchema" xmlns:xs="http://www.w3.org/2001/XMLSchema" xmlns:p="http://schemas.microsoft.com/office/2006/metadata/properties" xmlns:ns2="cb079293-eadd-4436-8187-18667cde1a4c" xmlns:ns3="983c235b-cb23-418c-b1fd-2d91cd202571" targetNamespace="http://schemas.microsoft.com/office/2006/metadata/properties" ma:root="true" ma:fieldsID="ea5fcf34463d25636cce4e1b31c79667" ns2:_="" ns3:_="">
    <xsd:import namespace="cb079293-eadd-4436-8187-18667cde1a4c"/>
    <xsd:import namespace="983c235b-cb23-418c-b1fd-2d91cd202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79293-eadd-4436-8187-18667cde1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c235b-cb23-418c-b1fd-2d91cd20257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0a88343-39d5-4695-84dc-41a7346da42d}" ma:internalName="TaxCatchAll" ma:showField="CatchAllData" ma:web="983c235b-cb23-418c-b1fd-2d91cd202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13A04-49FD-437A-AE0B-8052A1E926AE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cb079293-eadd-4436-8187-18667cde1a4c"/>
    <ds:schemaRef ds:uri="http://www.w3.org/XML/1998/namespace"/>
    <ds:schemaRef ds:uri="http://schemas.openxmlformats.org/package/2006/metadata/core-properties"/>
    <ds:schemaRef ds:uri="983c235b-cb23-418c-b1fd-2d91cd20257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389FCD-30D4-49AE-9261-3DB7C6E285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1BB501-0768-4841-9AC9-EC842E536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079293-eadd-4436-8187-18667cde1a4c"/>
    <ds:schemaRef ds:uri="983c235b-cb23-418c-b1fd-2d91cd202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16</vt:i4>
      </vt:variant>
    </vt:vector>
  </HeadingPairs>
  <TitlesOfParts>
    <vt:vector size="22" baseType="lpstr">
      <vt:lpstr>Formato</vt:lpstr>
      <vt:lpstr>Formato (2)</vt:lpstr>
      <vt:lpstr>Domicilios</vt:lpstr>
      <vt:lpstr>Aux</vt:lpstr>
      <vt:lpstr>Comentarios</vt:lpstr>
      <vt:lpstr>Catalogo</vt:lpstr>
      <vt:lpstr>ABC</vt:lpstr>
      <vt:lpstr>Formato!Área_de_impresión</vt:lpstr>
      <vt:lpstr>'Formato (2)'!Área_de_impresión</vt:lpstr>
      <vt:lpstr>C_ADSCRIPCION</vt:lpstr>
      <vt:lpstr>C_AUTORIZO</vt:lpstr>
      <vt:lpstr>C_CENTROT</vt:lpstr>
      <vt:lpstr>C_EMPLEADO</vt:lpstr>
      <vt:lpstr>C_ENTIDADF</vt:lpstr>
      <vt:lpstr>C_OFICINA</vt:lpstr>
      <vt:lpstr>ESTADOS</vt:lpstr>
      <vt:lpstr>LICENCIA</vt:lpstr>
      <vt:lpstr>Perfiles_de_acceso_a_internet</vt:lpstr>
      <vt:lpstr>Servicios</vt:lpstr>
      <vt:lpstr>TCentroDeTrabajo</vt:lpstr>
      <vt:lpstr>TDOMICILIOS</vt:lpstr>
      <vt:lpstr>Unidad_Administrativa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Departamento de Servicios de Internet</dc:creator>
  <cp:keywords/>
  <dc:description/>
  <cp:lastModifiedBy>César Hernández</cp:lastModifiedBy>
  <cp:revision/>
  <cp:lastPrinted>2026-07-28T16:33:52Z</cp:lastPrinted>
  <dcterms:created xsi:type="dcterms:W3CDTF">2021-11-30T20:51:16Z</dcterms:created>
  <dcterms:modified xsi:type="dcterms:W3CDTF">2026-08-21T01:10:34Z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0x010100145AB19B52DECB4D876A5B1F90499140</vt:lpwstr>
  </property>
  <property fmtid="{D5CDD505-2E9C-101B-9397-08002B2CF9AE}" pid="3" name="MediaServiceImageTags">
    <vt:lpwstr/>
  </property>
</Properties>
</file>